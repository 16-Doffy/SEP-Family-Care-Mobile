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 Case Tracker" sheetId="1" r:id="rId5"/>
    <sheet state="visible" name="Main Core Flow Mapping" sheetId="2" r:id="rId6"/>
    <sheet state="visible" name="Business Rule &amp; Permission" sheetId="3" r:id="rId7"/>
    <sheet state="visible" name="API Screen DB Mapping" sheetId="4" r:id="rId8"/>
    <sheet state="visible" name="Main Flow Steps" sheetId="5" r:id="rId9"/>
    <sheet state="hidden" name="VI - Dictionary" sheetId="6" r:id="rId10"/>
    <sheet state="visible" name="Subscription Plan Matrix" sheetId="7" r:id="rId11"/>
    <sheet state="visible" name="VI - Use Case Tracker" sheetId="8" r:id="rId12"/>
    <sheet state="visible" name="VI - Main Flow Mapping" sheetId="9" r:id="rId13"/>
    <sheet state="visible" name="VI - Business Rules" sheetId="10" r:id="rId14"/>
    <sheet state="visible" name="VI - API Screen DB" sheetId="11" r:id="rId15"/>
    <sheet state="visible" name="VI - Main Flow Steps" sheetId="12" r:id="rId16"/>
  </sheets>
  <definedNames/>
  <calcPr/>
</workbook>
</file>

<file path=xl/sharedStrings.xml><?xml version="1.0" encoding="utf-8"?>
<sst xmlns="http://schemas.openxmlformats.org/spreadsheetml/2006/main" count="4195" uniqueCount="1848">
  <si>
    <t>UC ID</t>
  </si>
  <si>
    <t>UC Name</t>
  </si>
  <si>
    <t>Main Flow</t>
  </si>
  <si>
    <t>Module</t>
  </si>
  <si>
    <t>Primary Actor</t>
  </si>
  <si>
    <t>Description / Goal</t>
  </si>
  <si>
    <t>Priority</t>
  </si>
  <si>
    <t>Status</t>
  </si>
  <si>
    <t>Owner</t>
  </si>
  <si>
    <t>Related Rule ID</t>
  </si>
  <si>
    <t>Notes</t>
  </si>
  <si>
    <t>Final Scope Decision</t>
  </si>
  <si>
    <t>UC01</t>
  </si>
  <si>
    <t>Manage Subscription Plans and Feature Access</t>
  </si>
  <si>
    <t>Supporting Admin/Docker</t>
  </si>
  <si>
    <t>Subscription</t>
  </si>
  <si>
    <t>Admin</t>
  </si>
  <si>
    <t>Admin creates/updates/deactivates Free, Plus and Premium plans. Paid plans are billed annually only. Each plan defines yearly price and feature access such as finance reports, AI insights, SOS safety features, wearable support, storage and export capability.</t>
  </si>
  <si>
    <t>Must-have</t>
  </si>
  <si>
    <t>Not Started</t>
  </si>
  <si>
    <t/>
  </si>
  <si>
    <t>BR-SUB-01, BR-SUB-02, BR-SUB-03, BR-SUB-04, BR-SUB-08</t>
  </si>
  <si>
    <t>Annual-only billing for paid plans. Monthly billing is out of scope for MVP.</t>
  </si>
  <si>
    <t>Keep</t>
  </si>
  <si>
    <t>UC02</t>
  </si>
  <si>
    <t>Manage Family Workspaces and Subscription Status</t>
  </si>
  <si>
    <t>Admin views workspaces, main Family Manager, subscription and activation status.</t>
  </si>
  <si>
    <t>BR-SUB-01, BR-WS-02</t>
  </si>
  <si>
    <t>UC03</t>
  </si>
  <si>
    <t>Manage User Account Access</t>
  </si>
  <si>
    <t>Admin locks/unlocks/restricts/restores user access when needed.</t>
  </si>
  <si>
    <t>BR-ADM-01, BR-AUTH-02</t>
  </si>
  <si>
    <t>UC04</t>
  </si>
  <si>
    <t>Monitor Workspace Activation Status</t>
  </si>
  <si>
    <t>Admin checks active/pending/suspended/failed/expired workspace states.</t>
  </si>
  <si>
    <t>BR-WS-02, BR-DEP-01</t>
  </si>
  <si>
    <t>UC05</t>
  </si>
  <si>
    <t>View Basic Service Status</t>
  </si>
  <si>
    <t>Admin views basic demo service status such as Backend, Admin Web, API and Database.</t>
  </si>
  <si>
    <t>Should-have</t>
  </si>
  <si>
    <t>BR-DEP-01, BR-FUT-01</t>
  </si>
  <si>
    <t>UC06</t>
  </si>
  <si>
    <t>View Workspace Provisioning Logs</t>
  </si>
  <si>
    <t>Admin views basic provisioning logs for workspace activation/demo startup failures.</t>
  </si>
  <si>
    <t>BR-DEP-01</t>
  </si>
  <si>
    <t>UC07</t>
  </si>
  <si>
    <t>Retry Workspace Provisioning</t>
  </si>
  <si>
    <t>Admin retries workspace activation/provisioning when a demo setup fails.</t>
  </si>
  <si>
    <t>UC08</t>
  </si>
  <si>
    <t>View Basic Subscription Summary</t>
  </si>
  <si>
    <t>Admin views a basic subscription summary only; advanced charts/export are Future.</t>
  </si>
  <si>
    <t>Could-have</t>
  </si>
  <si>
    <t>BR-SUB-01, BR-FUT-01</t>
  </si>
  <si>
    <t>Could-have / Do after core</t>
  </si>
  <si>
    <t>UC09</t>
  </si>
  <si>
    <t>Complete Family Onboarding Form - Account Info</t>
  </si>
  <si>
    <t>Flow 1</t>
  </si>
  <si>
    <t>Auth</t>
  </si>
  <si>
    <t>Onboarding User / Family Representative</t>
  </si>
  <si>
    <t>Enter account registration information as part of the Family Onboarding Form.
(Create Account Info -&gt; Create Family Workspace info)</t>
  </si>
  <si>
    <t>BR-AUTH-01, BR-AUTH-03</t>
  </si>
  <si>
    <t>Account info is collected before workspace setup. If email/phone already exists, system should redirect user to login/forgot password or resend verification if unverified.</t>
  </si>
  <si>
    <t>UC10</t>
  </si>
  <si>
    <t>Verify Account</t>
  </si>
  <si>
    <t>Verify account after onboarding submission if verification is required before full workspace activation.</t>
  </si>
  <si>
    <t>BR-AUTH-01</t>
  </si>
  <si>
    <t>Verification can be email/phone/code or simulated for demo.</t>
  </si>
  <si>
    <t>UC11</t>
  </si>
  <si>
    <t>Login / Logout</t>
  </si>
  <si>
    <t>All Users</t>
  </si>
  <si>
    <t>Login or logout after account/workspace onboarding is completed.</t>
  </si>
  <si>
    <t>BR-AUTH-02</t>
  </si>
  <si>
    <t>Login may be automatic after successful onboarding depending on implementation.</t>
  </si>
  <si>
    <t>UC12</t>
  </si>
  <si>
    <t>Create Family Workspace with Default Plan</t>
  </si>
  <si>
    <t>Family</t>
  </si>
  <si>
    <t>Submit family information in the onboarding form; system creates the Family Workspace, applies the default Free/Basic subscription status, and assigns the creator as the only main Family Manager.</t>
  </si>
  <si>
    <t>BR-WS-01, BR-WS-02, BR-SUB-01, BR-ROLE-01</t>
  </si>
  <si>
    <t>This UC is triggered by the same Family Onboarding Form, not a fully separate manual flow.</t>
  </si>
  <si>
    <t>UC13</t>
  </si>
  <si>
    <t>Join Family via Invitation Link</t>
  </si>
  <si>
    <t>Invited User</t>
  </si>
  <si>
    <t>Join an existing Family Workspace through a valid invitation link after login/register.</t>
  </si>
  <si>
    <t>BR-INV-01</t>
  </si>
  <si>
    <t>Used for invited members, not for the first Family Manager.</t>
  </si>
  <si>
    <t>UC14</t>
  </si>
  <si>
    <t>Manage Family Profile</t>
  </si>
  <si>
    <t>Flow 2</t>
  </si>
  <si>
    <t>Family Manager</t>
  </si>
  <si>
    <t>BR-ROLE-01</t>
  </si>
  <si>
    <t>UC15</t>
  </si>
  <si>
    <t>Invite Family Member</t>
  </si>
  <si>
    <t>BR-INV-01, BR-ROLE-01</t>
  </si>
  <si>
    <t>UC16</t>
  </si>
  <si>
    <t>Manage Family Invitations</t>
  </si>
  <si>
    <t>UC17</t>
  </si>
  <si>
    <t>Manage Member Role and Relationship</t>
  </si>
  <si>
    <t>BR-ROLE-03, BR-ROLE-04</t>
  </si>
  <si>
    <t>UC18</t>
  </si>
  <si>
    <t>Grant or Revoke Deputy Permission</t>
  </si>
  <si>
    <t>BR-ROLE-02, BR-ROLE-01</t>
  </si>
  <si>
    <t>UC19</t>
  </si>
  <si>
    <t>Remove or Deactivate Family Member</t>
  </si>
  <si>
    <t>UC20</t>
  </si>
  <si>
    <t>View Family Member List and Details</t>
  </si>
  <si>
    <t>UC21</t>
  </si>
  <si>
    <t>View Member Financial Profile Summary</t>
  </si>
  <si>
    <t>Flow 3</t>
  </si>
  <si>
    <t>Finance</t>
  </si>
  <si>
    <t>View member financial profile summary such as income status and aggregated planning data based on permission; Family Manager does not directly edit each member's private income/expense by default.</t>
  </si>
  <si>
    <t>BR-FIN-05, BR-FIN-06</t>
  </si>
  <si>
    <t>Manager views summary for planning, not direct personal data control.</t>
  </si>
  <si>
    <t>UC22</t>
  </si>
  <si>
    <t>Set Personal Income and Expense</t>
  </si>
  <si>
    <t>Family Member</t>
  </si>
  <si>
    <t>Family Member sets or updates personal income status, expected income, actual income, expected personal expense and actual personal expense.</t>
  </si>
  <si>
    <t>BR-FIN-05, BR-FIN-06, BR-AUTH-02</t>
  </si>
  <si>
    <t>Each member owns their personal finance declaration.</t>
  </si>
  <si>
    <t>UC23</t>
  </si>
  <si>
    <t>Manage Shared Expense Categories</t>
  </si>
  <si>
    <t>Family Manager / Family Member with delegated Deputy permission</t>
  </si>
  <si>
    <t>Manage shared family expense categories such as rent, electricity, water, food and school fees.</t>
  </si>
  <si>
    <t>BR-FIN-05</t>
  </si>
  <si>
    <t>Shared categories are family-level, not member-private.</t>
  </si>
  <si>
    <t>UC24</t>
  </si>
  <si>
    <t>Set Expected Shared Family Income / Fund</t>
  </si>
  <si>
    <t>Set expected shared family income or family fund planning values, excluding private member income that members declare themselves.</t>
  </si>
  <si>
    <t>Use for common fund, shared contribution, or family-level income planning.</t>
  </si>
  <si>
    <t>UC25</t>
  </si>
  <si>
    <t>Set Expected Shared Family Expenses</t>
  </si>
  <si>
    <t>Set expected shared family expenses such as rent, utilities, food, school fees or other common household expenses.</t>
  </si>
  <si>
    <t>Manager controls family-level shared expenses.</t>
  </si>
  <si>
    <t>UC26</t>
  </si>
  <si>
    <t>View Planned Family Budget</t>
  </si>
  <si>
    <t>View planned family budget calculated from member-declared personal income/expense and manager-defined shared family income/expense.</t>
  </si>
  <si>
    <t>Respect privacy/permission when showing details.</t>
  </si>
  <si>
    <t>UC27</t>
  </si>
  <si>
    <t>Record Actual Personal Income and Expense</t>
  </si>
  <si>
    <t>Family Member records actual personal income and personal expense for their own financial tracking if allowed.</t>
  </si>
  <si>
    <t>Core finance scope after Review 1: budget planning, actual spending tracking, planned-vs-actual comparison and budget alerts.</t>
  </si>
  <si>
    <t>UC28</t>
  </si>
  <si>
    <t>Record Actual Shared Family Expense</t>
  </si>
  <si>
    <t>Record actual shared family expense against the family fund ledger for tracking/planned-vs-actual reporting. The system does not hold or pay real money.</t>
  </si>
  <si>
    <t>BR-FIN-01, BR-FIN-04, BR-FIN-07</t>
  </si>
  <si>
    <t>Shared actual expense is recorded in the family fund ledger only; no real money is held by the system.</t>
  </si>
  <si>
    <t>UC29</t>
  </si>
  <si>
    <t>View Actual Finance and Family Fund Report</t>
  </si>
  <si>
    <t>View actual shared finance, family fund balance, and planned-vs-actual comparison; personal details are shown only according to privacy/permission rules.</t>
  </si>
  <si>
    <t>BR-FIN-01, BR-FIN-05, BR-FIN-06, BR-FIN-07</t>
  </si>
  <si>
    <t>Report focuses on planned-vs-actual, fund ledger balance and privacy-aware finance summaries.</t>
  </si>
  <si>
    <t>UC30</t>
  </si>
  <si>
    <t>View Budget Alerts</t>
  </si>
  <si>
    <t>View alerts when actual shared expenses exceed plan or family fund has shortage risk.</t>
  </si>
  <si>
    <t>Budget alerts are part of the core finance value after Review 1.</t>
  </si>
  <si>
    <t>UC31</t>
  </si>
  <si>
    <t>Manage Family Fund Ledger</t>
  </si>
  <si>
    <t>Finance / Family Fund</t>
  </si>
  <si>
    <t>Manage internal family fund ledger records for shared family planning, allowance and reward tracking. This is not a real e-wallet.</t>
  </si>
  <si>
    <t>BR-FIN-01, BR-FIN-04, BR-FIN-07, BR-FIN-08</t>
  </si>
  <si>
    <t>This replaces the old top-up wallet concept. It is a ledger record, not a payment transaction.</t>
  </si>
  <si>
    <t>Keep, standardized as internal ledger scope after Review 1</t>
  </si>
  <si>
    <t>UC32</t>
  </si>
  <si>
    <t>Record Family Fund Contribution</t>
  </si>
  <si>
    <t>Record a contribution entry to the family fund ledger for planning and tracking purposes only.</t>
  </si>
  <si>
    <t>This replaces Record Family Fund Contribution. It is a ledger record, not a payment transaction.</t>
  </si>
  <si>
    <t>UC33</t>
  </si>
  <si>
    <t>Allocate Internal Allowance / Reward</t>
  </si>
  <si>
    <t>Finance / Reward</t>
  </si>
  <si>
    <t>Allocate internal allowance or task reward to a family member as a tracking record.</t>
  </si>
  <si>
    <t>Allowance/reward is internal record only; no real withdrawal or cash-out.</t>
  </si>
  <si>
    <t>Keep, standardized as spending support request after Review 1</t>
  </si>
  <si>
    <t>UC34</t>
  </si>
  <si>
    <t>Submit Spending Support Request</t>
  </si>
  <si>
    <t>Finance / Request</t>
  </si>
  <si>
    <t>Family Member submits a spending support request for review by Family Manager or delegated Deputy.</t>
  </si>
  <si>
    <t>BR-FIN-02, BR-FIN-07</t>
  </si>
  <si>
    <t>Request creates approval workflow and record only, not direct cash withdrawal.</t>
  </si>
  <si>
    <t>UC35</t>
  </si>
  <si>
    <t>Approve or Reject Spending Support Request</t>
  </si>
  <si>
    <t>Approve or reject a spending support request and create related family fund ledger records if approved.</t>
  </si>
  <si>
    <t>BR-FIN-02, BR-FIN-03, BR-FIN-04, BR-FIN-07</t>
  </si>
  <si>
    <t>Approval updates internal ledger/allowance record only.</t>
  </si>
  <si>
    <t>Keep, standardized as internal ledger history after Review 1</t>
  </si>
  <si>
    <t>UC36</t>
  </si>
  <si>
    <t>View Family Fund and Allowance History</t>
  </si>
  <si>
    <t>Family Manager / Family Member</t>
  </si>
  <si>
    <t>View family fund ledger, internal allowance, reward and spending support request history according to permission.</t>
  </si>
  <si>
    <t>BR-FIN-04, BR-FIN-06, BR-FIN-07</t>
  </si>
  <si>
    <t>Transaction history means internal ledger history, not bank/payment transaction history.</t>
  </si>
  <si>
    <t>Keep, renamed from Family Fund Ledger history</t>
  </si>
  <si>
    <t>UC37</t>
  </si>
  <si>
    <t>Manage Household Task Categories</t>
  </si>
  <si>
    <t>Flow 4</t>
  </si>
  <si>
    <t>Task</t>
  </si>
  <si>
    <t>BR-TASK-01</t>
  </si>
  <si>
    <t>UC38</t>
  </si>
  <si>
    <t>Create Ad-hoc Task</t>
  </si>
  <si>
    <t>UC39</t>
  </si>
  <si>
    <t>Create Recurring Mandatory Task</t>
  </si>
  <si>
    <t>BR-TASK-01, BR-TASK-02</t>
  </si>
  <si>
    <t>UC40</t>
  </si>
  <si>
    <t>Assign or Reassign Household Task</t>
  </si>
  <si>
    <t>BR-TASK-02</t>
  </si>
  <si>
    <t>UC41</t>
  </si>
  <si>
    <t>Report Task Unavailability</t>
  </si>
  <si>
    <t>UC42</t>
  </si>
  <si>
    <t>Handle Recurring Task Takeover</t>
  </si>
  <si>
    <t>System / Family Manager / Family Member with delegated Deputy permission</t>
  </si>
  <si>
    <t>UC43</t>
  </si>
  <si>
    <t>Submit Task Completion with Proof</t>
  </si>
  <si>
    <t>Family Member submits task completion with proof such as note/image/video if required.</t>
  </si>
  <si>
    <t>BR-TASK-03</t>
  </si>
  <si>
    <t>Task completion must be reviewed before any reward obligation is created.</t>
  </si>
  <si>
    <t>UC44</t>
  </si>
  <si>
    <t>Review Task Completion</t>
  </si>
  <si>
    <t>Review submitted task proof and approve or reject task completion.</t>
  </si>
  <si>
    <t>BR-TASK-03, BR-TASK-04</t>
  </si>
  <si>
    <t>Approved task completion creates reward obligation if the task has reward, but does not mean real money has been paid.</t>
  </si>
  <si>
    <t>UC45</t>
  </si>
  <si>
    <t>Create Reward Settlement Record</t>
  </si>
  <si>
    <t>Reward / Settlement</t>
  </si>
  <si>
    <t>System</t>
  </si>
  <si>
    <t>After task completion is approved, the system creates a reward settlement record with Pending Settlement status if the task has reward.</t>
  </si>
  <si>
    <t>BR-TASK-04, BR-REW-01, BR-REW-02</t>
  </si>
  <si>
    <t>Task approved does not equal reward received. Reward starts as Pending Settlement.</t>
  </si>
  <si>
    <t>UC46</t>
  </si>
  <si>
    <t>Mark Reward as Settled Externally</t>
  </si>
  <si>
    <t>Family Manager or delegated Deputy records that the reward was settled outside the system via cash, bank transfer, third-party wallet or other method.</t>
  </si>
  <si>
    <t>BR-REW-02, BR-REW-03, BR-FIN-08</t>
  </si>
  <si>
    <t>This only records external/offline settlement status; the system does not transfer real money.</t>
  </si>
  <si>
    <t>UC47</t>
  </si>
  <si>
    <t>Confirm Reward Received</t>
  </si>
  <si>
    <t>Assigned member confirms that the externally settled reward has actually been received.</t>
  </si>
  <si>
    <t>BR-REW-04</t>
  </si>
  <si>
    <t>Reward becomes fully settled only after the assigned member confirms receipt.</t>
  </si>
  <si>
    <t>UC48</t>
  </si>
  <si>
    <t>Report Reward Not Received / Dispute</t>
  </si>
  <si>
    <t>Assigned member reports that the reward marked as settled has not been received or needs review.</t>
  </si>
  <si>
    <t>BR-REW-05</t>
  </si>
  <si>
    <t>Dispute status helps handle mismatch between manager-settled record and member receipt confirmation.</t>
  </si>
  <si>
    <t>Keep / Should-have</t>
  </si>
  <si>
    <t>UC49</t>
  </si>
  <si>
    <t>View Assigned Tasks and Reward Settlement History</t>
  </si>
  <si>
    <t>Task / Reward</t>
  </si>
  <si>
    <t>View assigned tasks, completion status, reward settlement status and reward receipt history.</t>
  </si>
  <si>
    <t>BR-TASK-04, BR-REW-01, BR-REW-04</t>
  </si>
  <si>
    <t>Reward status should show Pending Settlement, Waiting Confirmation, Settled or Disputed.</t>
  </si>
  <si>
    <t>UC50</t>
  </si>
  <si>
    <t>Trigger SOS Alert from Mobile App</t>
  </si>
  <si>
    <t>Flow 5</t>
  </si>
  <si>
    <t>SOS</t>
  </si>
  <si>
    <t>Family Member triggers SOS from the mobile app and sends high-priority alert with location context when available.</t>
  </si>
  <si>
    <t>BR-SOS-01, BR-SOS-02, BR-SOS-05</t>
  </si>
  <si>
    <t>Mobile SOS remains core; wearable SOS is added as a separate UC.</t>
  </si>
  <si>
    <t>UC51</t>
  </si>
  <si>
    <t>View and Respond to SOS Alert</t>
  </si>
  <si>
    <t>All Family Members</t>
  </si>
  <si>
    <t>View SOS details, source, location context and response actions.</t>
  </si>
  <si>
    <t>BR-SOS-02</t>
  </si>
  <si>
    <t>Family members can see who triggered SOS and respond quickly.</t>
  </si>
  <si>
    <t>UC52</t>
  </si>
  <si>
    <t>Confirm Safety</t>
  </si>
  <si>
    <t>Confirm safety after an SOS event is handled or false alarm is resolved.</t>
  </si>
  <si>
    <t>BR-SOS-03</t>
  </si>
  <si>
    <t>Safety confirmation is required before final resolution when applicable.</t>
  </si>
  <si>
    <t>UC53</t>
  </si>
  <si>
    <t>Resolve or Cancel SOS Alert</t>
  </si>
  <si>
    <t>Resolve or cancel SOS alert with safety confirmation or clear handling reason.</t>
  </si>
  <si>
    <t>SOS closure must be traceable.</t>
  </si>
  <si>
    <t>UC54</t>
  </si>
  <si>
    <t>View Basic SOS Location or Route History</t>
  </si>
  <si>
    <t>Family Manager / Family Member with delegated Deputy permission / Family Member</t>
  </si>
  <si>
    <t>View basic SOS location or route history when available and permitted.</t>
  </si>
  <si>
    <t>BR-SOS-04</t>
  </si>
  <si>
    <t>Basic active SOS route/location history only; advanced continuous GPS is future.</t>
  </si>
  <si>
    <t>UC55</t>
  </si>
  <si>
    <t>Configure SOS Contacts and Settings</t>
  </si>
  <si>
    <t>Family Manager configures SOS emergency contacts and alert settings for the family workspace.</t>
  </si>
  <si>
    <t>BR-SOS-01, BR-SOS-05</t>
  </si>
  <si>
    <t>Settings define who receives SOS and how safety alert behaves.</t>
  </si>
  <si>
    <t>UC56</t>
  </si>
  <si>
    <t>Pair SOS Wearable / Safety Device</t>
  </si>
  <si>
    <t>SOS / Wearable</t>
  </si>
  <si>
    <t>Pair or register a wearable/safety device to support SOS triggering and safety alert simulation.</t>
  </si>
  <si>
    <t>BR-SOS-05, BR-SOS-06</t>
  </si>
  <si>
    <t>Wearable can be simulated for demo if real smartwatch integration is not stable.</t>
  </si>
  <si>
    <t>Keep for demo/simulation</t>
  </si>
  <si>
    <t>UC57</t>
  </si>
  <si>
    <t>Trigger SOS from Wearable Device</t>
  </si>
  <si>
    <t>Trigger SOS from a wearable or simulated safety device and notify family members with location context when available.</t>
  </si>
  <si>
    <t>BR-SOS-01, BR-SOS-02, BR-SOS-05, BR-SOS-06</t>
  </si>
  <si>
    <t>Main goal is to prove SOS can be triggered from a device, not only mobile app.</t>
  </si>
  <si>
    <t>UC58</t>
  </si>
  <si>
    <t>Receive Fall Detection / Abnormal Movement Alert</t>
  </si>
  <si>
    <t>Receive alert when wearable or simulated device detects fall-like impact or abnormal movement and creates an SOS warning.</t>
  </si>
  <si>
    <t>Can be simulated using test sensor data or manual admin/dev trigger.</t>
  </si>
  <si>
    <t>Simulated / Demo</t>
  </si>
  <si>
    <t>UC59</t>
  </si>
  <si>
    <t>Track Live Location During Active SOS</t>
  </si>
  <si>
    <t>SOS / Location</t>
  </si>
  <si>
    <t>Track and display live/basic location updates only while SOS is active and permission/location data is available.</t>
  </si>
  <si>
    <t>BR-SOS-04, BR-SOS-05</t>
  </si>
  <si>
    <t>Basic only; advanced continuous GPS tracking remains future enhancement.</t>
  </si>
  <si>
    <t>Basic only</t>
  </si>
  <si>
    <t>UC60</t>
  </si>
  <si>
    <t>Receive Family Notifications</t>
  </si>
  <si>
    <t>Supporting Communication</t>
  </si>
  <si>
    <t>Communication</t>
  </si>
  <si>
    <t>Receive notifications for task, reward settlement, spending support request, family announcement and SOS alert.</t>
  </si>
  <si>
    <t>BR-COM-01, BR-REW-02</t>
  </si>
  <si>
    <t>Reward notifications include Pending Settlement, Waiting Confirmation, Settled and Disputed.</t>
  </si>
  <si>
    <t>UC61</t>
  </si>
  <si>
    <t>Use Basic Group Chat</t>
  </si>
  <si>
    <t>Send and receive basic messages in the family group.</t>
  </si>
  <si>
    <t>BR-COM-02</t>
  </si>
  <si>
    <t>Text message first; media/file can be Could-have.</t>
  </si>
  <si>
    <t>UC62</t>
  </si>
  <si>
    <t>Use Basic Private Chat</t>
  </si>
  <si>
    <t>Send and receive direct messages with another family member in the same workspace.</t>
  </si>
  <si>
    <t>Can do after group chat if time remains.</t>
  </si>
  <si>
    <t>UC63</t>
  </si>
  <si>
    <t>Send Family Announcement</t>
  </si>
  <si>
    <t>Send important announcement to all members in the Family Workspace.</t>
  </si>
  <si>
    <t>BR-COM-03</t>
  </si>
  <si>
    <t>Useful for family-wide updates; keep simple.</t>
  </si>
  <si>
    <t>UC64</t>
  </si>
  <si>
    <t>Use Quick Safety Communication</t>
  </si>
  <si>
    <t>Communication / SOS</t>
  </si>
  <si>
    <t>Use quick message or call-support shortcut in safety-related situations.</t>
  </si>
  <si>
    <t>BR-COM-04, BR-SOS-02</t>
  </si>
  <si>
    <t>Can be shown as button/UI shortcut; no real call integration required.</t>
  </si>
  <si>
    <t>UC65</t>
  </si>
  <si>
    <t>Ask AI Assistant</t>
  </si>
  <si>
    <t>Supporting AI Insight</t>
  </si>
  <si>
    <t>AI</t>
  </si>
  <si>
    <t>User asks AI Assistant a question about family finance, task status, reminder, saving suggestion, or general family activity based on available data and permission.</t>
  </si>
  <si>
    <t>BR-AI-01, BR-AI-02</t>
  </si>
  <si>
    <t>AI is a supporting feature, not a core flow. It must respect user permission and workspace context.</t>
  </si>
  <si>
    <t>Keep / Supporting</t>
  </si>
  <si>
    <t>UC66</t>
  </si>
  <si>
    <t>View AI Finance Summary</t>
  </si>
  <si>
    <t>AI / Finance</t>
  </si>
  <si>
    <t>AI summarizes shared family finance, family fund ledger balance, spending status, planned-vs-actual comparison, and budget alerts based on data the user is allowed to view.</t>
  </si>
  <si>
    <t>BR-AI-01, BR-AI-03, BR-FIN-05, BR-FIN-06</t>
  </si>
  <si>
    <t>Sensitive finance data must not be exposed to unauthorized Family Members.</t>
  </si>
  <si>
    <t>UC67</t>
  </si>
  <si>
    <t>View AI Task Summary</t>
  </si>
  <si>
    <t>AI / Task</t>
  </si>
  <si>
    <t>AI summarizes assigned tasks, pending tasks, unavailable recurring tasks, completed tasks, and reward settlement status based on role and task permission.</t>
  </si>
  <si>
    <t>BR-AI-01, BR-AI-02, BR-TASK-02, BR-TASK-04, BR-REW-02</t>
  </si>
  <si>
    <t>AI only summarizes task/reward status and reminders; it does not assign, approve, or settle rewards automatically.</t>
  </si>
  <si>
    <t>UC68</t>
  </si>
  <si>
    <t>Receive AI-based Budget and Saving Suggestions</t>
  </si>
  <si>
    <t>AI provides budget and saving suggestions based on recorded budget, actual expense, task reward and allowed family finance data.</t>
  </si>
  <si>
    <t>BR-AI-01, BR-AI-02, BR-AI-04, BR-FIN-05, BR-FIN-06</t>
  </si>
  <si>
    <t>AI only gives summaries and suggestions. It does not make automatic financial decisions or change data automatically.</t>
  </si>
  <si>
    <t>UC69</t>
  </si>
  <si>
    <t>Request Password Reset</t>
  </si>
  <si>
    <t>Guest / User</t>
  </si>
  <si>
    <t>Guest or User requests a password reset link to regain access to their account.</t>
  </si>
  <si>
    <t>UC70</t>
  </si>
  <si>
    <t>Create Family Calendar Event</t>
  </si>
  <si>
    <t>Supporting Calendar</t>
  </si>
  <si>
    <t>Calendar</t>
  </si>
  <si>
    <t>Family Manager / Deputy</t>
  </si>
  <si>
    <t>Family Manager or Deputy creates a new event in the shared family calendar.</t>
  </si>
  <si>
    <t>BR-CAL-01</t>
  </si>
  <si>
    <t>UC71</t>
  </si>
  <si>
    <t>View Family Calendar Events</t>
  </si>
  <si>
    <t>All Family Members view upcoming events and reminders in the shared family calendar.</t>
  </si>
  <si>
    <t>UC72</t>
  </si>
  <si>
    <t>Upload Media to Shared Family Album</t>
  </si>
  <si>
    <t>Supporting Album</t>
  </si>
  <si>
    <t>Album</t>
  </si>
  <si>
    <t>All Family Members upload photos and videos to the shared family album.</t>
  </si>
  <si>
    <t>BR-ALB-01</t>
  </si>
  <si>
    <t>Basic album upload/view remains supporting, not core flow.</t>
  </si>
  <si>
    <t>UC73</t>
  </si>
  <si>
    <t>View Shared Family Album Media</t>
  </si>
  <si>
    <t>All Family Members view and interact with photos and videos in the shared family album.</t>
  </si>
  <si>
    <t>Basic shared album remains supporting feature.</t>
  </si>
  <si>
    <t>UC74</t>
  </si>
  <si>
    <t>Tag Family Members in Album Media</t>
  </si>
  <si>
    <t>User manually tags family members in shared album photos/videos to make family album more meaningful.</t>
  </si>
  <si>
    <t>BR-ALB-01, BR-ALB-02</t>
  </si>
  <si>
    <t>Manual tagging is safer for MVP than full AI face clustering.</t>
  </si>
  <si>
    <t>Do after core</t>
  </si>
  <si>
    <t>UC75</t>
  </si>
  <si>
    <t>Suggest Face-based Album Grouping</t>
  </si>
  <si>
    <t>Supporting Album / AI</t>
  </si>
  <si>
    <t>Album / AI</t>
  </si>
  <si>
    <t>System / All Family Members</t>
  </si>
  <si>
    <t>System suggests grouping photos by detected similar faces, but user confirmation is required before tagging or organizing.</t>
  </si>
  <si>
    <t>BR-ALB-02, BR-AI-01</t>
  </si>
  <si>
    <t>Face clustering is future enhancement or demo-only, not core MVP.</t>
  </si>
  <si>
    <t>Future / AI Enhancement</t>
  </si>
  <si>
    <t>UC76</t>
  </si>
  <si>
    <t>View Current Subscription and Feature Access</t>
  </si>
  <si>
    <t>Supporting Subscription</t>
  </si>
  <si>
    <t>Family Manager views current plan, annual billing status, yearly price, start date, expiration date, remaining days, active features and locked/unlocked capabilities.</t>
  </si>
  <si>
    <t>BR-SUB-01, BR-SUB-02, BR-SUB-03, BR-SUB-04, BR-SUB-07, BR-SUB-08, BR-SUB-10</t>
  </si>
  <si>
    <t>Shows annual plan, expiry date, remaining days and feature access.</t>
  </si>
  <si>
    <t>UC77</t>
  </si>
  <si>
    <t>Upgrade Subscription Plan</t>
  </si>
  <si>
    <t>Subscription / Payment</t>
  </si>
  <si>
    <t>Family Manager upgrades from Free to Plus/Premium or from Plus to Premium. Paid plans are annual-only. If upgrading from Plus to Premium during an active yearly cycle, the system calculates a prorated upgrade fee based on the annual price difference and remaining days.</t>
  </si>
  <si>
    <t>BR-SUB-03, BR-SUB-04, BR-SUB-06, BR-SUB-08, BR-SUB-09, BR-SUB-10, BR-FIN-08</t>
  </si>
  <si>
    <t>Upgrade fee = (Premium yearly price - Plus yearly price) × remaining days / 365. Payment is only for subscription, not family fund/allowance/reward.</t>
  </si>
  <si>
    <t>Keep / Demo payment</t>
  </si>
  <si>
    <t>UC78</t>
  </si>
  <si>
    <t>Handle Subscription Expiration / Limited Access</t>
  </si>
  <si>
    <t>System / Family Manager</t>
  </si>
  <si>
    <t>When the annual subscription expires, advanced features are locked but existing family data remains viewable according to permission.</t>
  </si>
  <si>
    <t>BR-SUB-05, BR-SUB-07, BR-SUB-08</t>
  </si>
  <si>
    <t>Annual subscription expiry locks advanced features rather than deleting data.</t>
  </si>
  <si>
    <t>UC79</t>
  </si>
  <si>
    <t>Enable / Disable Location Sharing</t>
  </si>
  <si>
    <t>SF4</t>
  </si>
  <si>
    <t>Location / Safety</t>
  </si>
  <si>
    <t>Family Member enables or disables normal location sharing for family tracking. This controls routine location tracking outside SOS events.</t>
  </si>
  <si>
    <t>BR-LOC-01, BR-LOC-03</t>
  </si>
  <si>
    <t>Normal location tracking should be opt-in/permission-based. SOS location behavior remains controlled by SOS settings.</t>
  </si>
  <si>
    <t>Planned / Prototype</t>
  </si>
  <si>
    <t>UC80</t>
  </si>
  <si>
    <t>Share / Record Member Location Point</t>
  </si>
  <si>
    <t>Family Member / Mobile App / Wearable Device</t>
  </si>
  <si>
    <t>Mobile app or wearable device sends the member's current GPS location. The system stores it as a normal MemberLocationPoint, separate from SOS route tracking.</t>
  </si>
  <si>
    <t>BR-LOC-01, BR-LOC-02, BR-LOC-04</t>
  </si>
  <si>
    <t>Related Physical ERD entity: member_location_points. This is normal tracking, not sos_location_points.</t>
  </si>
  <si>
    <t>Planned / ERD Present</t>
  </si>
  <si>
    <t>UC81</t>
  </si>
  <si>
    <t>View Family Member Location Tracking</t>
  </si>
  <si>
    <t>Family Manager / Deputy / Authorized Family Member</t>
  </si>
  <si>
    <t>Authorized family members view latest shared location or basic location history of members who have enabled location sharing.</t>
  </si>
  <si>
    <t>BR-LOC-01, BR-LOC-02, BR-LOC-03</t>
  </si>
  <si>
    <t>Family map/member tracking feature. If sharing is disabled or permission is missing, location must be hidden.</t>
  </si>
  <si>
    <t>UC82</t>
  </si>
  <si>
    <t>Select Family Finance Model</t>
  </si>
  <si>
    <t>Finance / Planning Model</t>
  </si>
  <si>
    <t>Select the family finance management model such as 5 Jars, 80/20, or Custom model for budgeting and allocation.</t>
  </si>
  <si>
    <t>BR-FIN-MODEL-01</t>
  </si>
  <si>
    <t>Added from 02/06 mentor note: finance should follow a clear model instead of only recording transactions.</t>
  </si>
  <si>
    <t>UC83</t>
  </si>
  <si>
    <t>Configure Finance Jars / Funds</t>
  </si>
  <si>
    <t>Finance / Jar</t>
  </si>
  <si>
    <t>Configure finance jars/funds such as essential spending, non-essential spending, saving goal fund, education/development, and emergency/reserve.</t>
  </si>
  <si>
    <t>BR-FIN-MODEL-01, BR-FIN-JAR-01</t>
  </si>
  <si>
    <t>Jars/funds can have allocation percentage, threshold, purpose, and owner/visibility rule.</t>
  </si>
  <si>
    <t>UC84</t>
  </si>
  <si>
    <t>Categorize Income and Expense</t>
  </si>
  <si>
    <t>Finance / Category</t>
  </si>
  <si>
    <t>Categorize income and expense records into finance categories/jars for reporting and budget analysis.</t>
  </si>
  <si>
    <t>BR-FIN-CAT-01</t>
  </si>
  <si>
    <t>Each transaction record should have a category/jar to support alerts and reports.</t>
  </si>
  <si>
    <t>UC85</t>
  </si>
  <si>
    <t>Mark Expense as Essential or Non-essential</t>
  </si>
  <si>
    <t>Mark each expense as essential or non-essential to support spending control and saving suggestions.</t>
  </si>
  <si>
    <t>BR-FIN-CAT-02</t>
  </si>
  <si>
    <t>Essential examples: food, utilities, tuition. Non-essential examples: entertainment, games, optional shopping.</t>
  </si>
  <si>
    <t>UC86</t>
  </si>
  <si>
    <t>Create Family Financial Goal</t>
  </si>
  <si>
    <t>Finance / Goal</t>
  </si>
  <si>
    <t>Create a family financial goal with target amount, deadline, related saving fund, and contribution plan.</t>
  </si>
  <si>
    <t>BR-FIN-GOAL-01</t>
  </si>
  <si>
    <t>Example: buy a 30M VND motorbike by year-end; system calculates monthly contribution target.</t>
  </si>
  <si>
    <t>UC87</t>
  </si>
  <si>
    <t>Allocate Money Record to Goal Fund</t>
  </si>
  <si>
    <t>Finance / Goal Fund</t>
  </si>
  <si>
    <t>Allocate an income/contribution/allowance record to a financial goal fund for progress tracking.</t>
  </si>
  <si>
    <t>BR-FIN-GOAL-01, BR-FIN-JAR-01</t>
  </si>
  <si>
    <t>This is still an internal record; real money is handled outside the app.</t>
  </si>
  <si>
    <t>UC88</t>
  </si>
  <si>
    <t>Track Financial Goal Progress</t>
  </si>
  <si>
    <t>Track progress of financial goals, current accumulated records, remaining amount, deadline, and monthly contribution target.</t>
  </si>
  <si>
    <t>BR-FIN-GOAL-01, BR-FIN-ALERT-01</t>
  </si>
  <si>
    <t>Goal progress is calculated from internal records, not real bank balance.</t>
  </si>
  <si>
    <t>UC89</t>
  </si>
  <si>
    <t>View Budget and Goal Risk Alerts</t>
  </si>
  <si>
    <t>Finance / Alert</t>
  </si>
  <si>
    <t>View alerts when spending exceeds threshold, non-essential spending is too high, or a financial goal is at risk.</t>
  </si>
  <si>
    <t>BR-FIN-ALERT-01</t>
  </si>
  <si>
    <t>Extends previous Budget Alerts based on 02/06 mentor note.</t>
  </si>
  <si>
    <t>UC90</t>
  </si>
  <si>
    <t>Allocate Task Reward to Finance Jar / Goal Fund</t>
  </si>
  <si>
    <t>Flow 3 / Flow 4</t>
  </si>
  <si>
    <t>Finance / Reward Settlement</t>
  </si>
  <si>
    <t>After reward receipt is confirmed, allocate the task reward record to a finance jar or financial goal fund.</t>
  </si>
  <si>
    <t>BR-REW-JAR-01, BR-REW-04</t>
  </si>
  <si>
    <t>Added from mentor note: task reward must know which jar/fund it belongs to.</t>
  </si>
  <si>
    <t>UC91</t>
  </si>
  <si>
    <t>Suggest Transaction Category by AI / OCR</t>
  </si>
  <si>
    <t>AI / OCR / Finance</t>
  </si>
  <si>
    <t>AI/OCR suggests transaction category, jar, or essential/non-essential classification from text or receipt image; user confirms final record.</t>
  </si>
  <si>
    <t>BR-AI-FIN-01</t>
  </si>
  <si>
    <t>Keep OCR/LLM as supporting technology, not Must-have for MVP.</t>
  </si>
  <si>
    <t>Could-have / Future</t>
  </si>
  <si>
    <t>Flow ID</t>
  </si>
  <si>
    <t>Flow Name</t>
  </si>
  <si>
    <t>Flow Type</t>
  </si>
  <si>
    <t>Business Goal</t>
  </si>
  <si>
    <t>Related UC IDs</t>
  </si>
  <si>
    <t>Main Actor</t>
  </si>
  <si>
    <t>Main Module</t>
  </si>
  <si>
    <t>Demo Scenario / Notes</t>
  </si>
  <si>
    <t>F1</t>
  </si>
  <si>
    <t>Account Registration &amp; Family Workspace Setup</t>
  </si>
  <si>
    <t>Core</t>
  </si>
  <si>
    <t>Let a user register/login first, then guide them to either create a new Family Workspace or join an existing one by invitation link before entering the dashboard.</t>
  </si>
  <si>
    <t>UC09-UC13; UC01-UC04</t>
  </si>
  <si>
    <t>Guest / User / Family Representative / Invited User</t>
  </si>
  <si>
    <t>Auth, Family, Subscription</t>
  </si>
  <si>
    <t>Nhật</t>
  </si>
  <si>
    <t>Register/Login -&gt; verify if required -&gt; check workspace membership -&gt; create new workspace or join by invitation -&gt; assign role -&gt; apply default plan for new workspace -&gt; enter dashboard.</t>
  </si>
  <si>
    <t>F2</t>
  </si>
  <si>
    <t>Member, Relationship &amp; Delegated Permission Management</t>
  </si>
  <si>
    <t>Manage invitations, workspace members, family relationship, member status and delegated Deputy permission within one Family Workspace.</t>
  </si>
  <si>
    <t>UC13-UC20</t>
  </si>
  <si>
    <t>Family Manager / Invited User</t>
  </si>
  <si>
    <t>Family, Member, Permission</t>
  </si>
  <si>
    <t>Invite member -&gt; user joins workspace -&gt; manager updates relationship/role -&gt; grant or revoke delegated permission -&gt; view or deactivate member.</t>
  </si>
  <si>
    <t>F3</t>
  </si>
  <si>
    <t>Family Finance Planning, Fund Ledger and Goal-based Budgeting</t>
  </si>
  <si>
    <t>Manage family income/expense records, finance model, finance jars, essential/non-essential spending, family financial goals, planned-vs-actual reports, budget/goal risk alerts, and reward allocation without holding real user money.</t>
  </si>
  <si>
    <t>UC21-UC36; UC82-UC91</t>
  </si>
  <si>
    <t>Finance, Family Fund Ledger, Goal-based Budgeting, AI Insight</t>
  </si>
  <si>
    <t>Select model -&gt; configure jars -&gt; record/categorize transactions -&gt; create goal -&gt; track progress -&gt; view risk alerts -&gt; allocate reward to jar/goal -&gt; optional AI/OCR suggestion.</t>
  </si>
  <si>
    <t>F4</t>
  </si>
  <si>
    <t>Household Task Coordination and Reward Settlement Management</t>
  </si>
  <si>
    <t>Create, assign, complete and approve household tasks; then create reward settlement record, mark external settlement, confirm member receipt or handle dispute.</t>
  </si>
  <si>
    <t>UC37-UC49</t>
  </si>
  <si>
    <t>Task, Reward Settlement</t>
  </si>
  <si>
    <t>Create task -&gt; assign -&gt; submit proof -&gt; approve task -&gt; create pending reward settlement -&gt; manager marks external settlement -&gt; member confirms received or disputes -&gt; view history.</t>
  </si>
  <si>
    <t>F5</t>
  </si>
  <si>
    <t>SOS Alert, Wearable Safety and Safety Response Management</t>
  </si>
  <si>
    <t>Trigger SOS from mobile or wearable/safety device, notify family, confirm safety, resolve/cancel, track basic location during active SOS and store basic route/history.</t>
  </si>
  <si>
    <t>UC50-UC59</t>
  </si>
  <si>
    <t>SOS, Notification, Location, Wearable</t>
  </si>
  <si>
    <t>Mobile/device SOS -&gt; notify family -&gt; track active SOS location -&gt; confirm safety -&gt; resolve -&gt; view history. Wearable can be simulated.</t>
  </si>
  <si>
    <t>Family Location Sharing and Member Tracking</t>
  </si>
  <si>
    <t>Supporting</t>
  </si>
  <si>
    <t>Allow members to opt in/out of normal location sharing, record routine location points from mobile/wearable, and let authorized family members view latest/basic location history without mixing it with SOS routes.</t>
  </si>
  <si>
    <t>UC79-UC81</t>
  </si>
  <si>
    <t>Family Member / Authorized Family Member</t>
  </si>
  <si>
    <t>Location, Family, Wearable</t>
  </si>
  <si>
    <t>Enable sharing -&gt; app/device sends location point -&gt; authorized viewer opens family map -&gt; system returns latest location/history. Normal tracking uses MemberLocationPoint; active SOS route uses SOSLocationPoint.</t>
  </si>
  <si>
    <t>SF1</t>
  </si>
  <si>
    <t>Family Communication, Calendar and Album</t>
  </si>
  <si>
    <t>Support family coordination through notifications, basic chat, announcement, calendar, shared album and optional member tagging.</t>
  </si>
  <si>
    <t>UC60-UC64; UC70-UC75</t>
  </si>
  <si>
    <t>Communication, Calendar, Album</t>
  </si>
  <si>
    <t>Keep basic only; album tagging is optional; face clustering is not core MVP.</t>
  </si>
  <si>
    <t>SF2</t>
  </si>
  <si>
    <t>AI-assisted Family Insight</t>
  </si>
  <si>
    <t>Provide AI assistant answers, finance summaries, task summaries and budget/saving suggestions based only on data the current user is allowed to view.</t>
  </si>
  <si>
    <t>UC65-UC68</t>
  </si>
  <si>
    <t>AI, Finance, Task, Reward, Reminder</t>
  </si>
  <si>
    <t>AI summarizes and suggests only; it does not make automatic decisions or update finance/task/SOS data.</t>
  </si>
  <si>
    <t>SF3</t>
  </si>
  <si>
    <t>Subscription Plan and Feature Access Management</t>
  </si>
  <si>
    <t>View plan, compare Free/Plus/Premium, upgrade/renew subscription, handle expired plan and control feature access by plan.</t>
  </si>
  <si>
    <t>UC76-UC78</t>
  </si>
  <si>
    <t>Family Manager / System</t>
  </si>
  <si>
    <t>Subscription, Payment, Feature Access</t>
  </si>
  <si>
    <t>Payment is only for subscription, not Family Fund Ledger, allowance or reward settlement.</t>
  </si>
  <si>
    <t>Rule ID</t>
  </si>
  <si>
    <t>Category</t>
  </si>
  <si>
    <t>Business Rule</t>
  </si>
  <si>
    <t>Applies To</t>
  </si>
  <si>
    <t>Can Delegate to Deputy?</t>
  </si>
  <si>
    <t>Related UC</t>
  </si>
  <si>
    <t>Role</t>
  </si>
  <si>
    <t>Each Family Workspace has only one main Family Manager.</t>
  </si>
  <si>
    <t>Family Workspace</t>
  </si>
  <si>
    <t>No</t>
  </si>
  <si>
    <t>UC12, UC17, UC18</t>
  </si>
  <si>
    <t>Critical review point.</t>
  </si>
  <si>
    <t>BR-ROLE-02</t>
  </si>
  <si>
    <t>Deputy is not a separate actor; it is delegated permission for a Family Member.</t>
  </si>
  <si>
    <t>Family Manager, Family Member</t>
  </si>
  <si>
    <t>N/A</t>
  </si>
  <si>
    <t>Permission</t>
  </si>
  <si>
    <t>Use wording: Family Member with delegated Deputy permission.</t>
  </si>
  <si>
    <t>BR-ROLE-03</t>
  </si>
  <si>
    <t>Relationship</t>
  </si>
  <si>
    <t>Relationship describes family relation only and does not grant system permission.</t>
  </si>
  <si>
    <t>UC17, UC20</t>
  </si>
  <si>
    <t>Examples: father, mother, child, spouse, grandparent.</t>
  </si>
  <si>
    <t>BR-ROLE-04</t>
  </si>
  <si>
    <t>Each member should have both role and relationship.</t>
  </si>
  <si>
    <t>Useful for ERD and validation.</t>
  </si>
  <si>
    <t>Invitation</t>
  </si>
  <si>
    <t>Invited users join an existing family only through a valid invitation link.</t>
  </si>
  <si>
    <t>UC13, UC15, UC16</t>
  </si>
  <si>
    <t>Token must be valid and not expired/canceled.</t>
  </si>
  <si>
    <t>Authentication</t>
  </si>
  <si>
    <t>Users must register and verify their account before using protected family functions.</t>
  </si>
  <si>
    <t>UC09, UC10</t>
  </si>
  <si>
    <t>Basic onboarding rule.</t>
  </si>
  <si>
    <t>Authorization</t>
  </si>
  <si>
    <t>Users can access resources only according to role, delegated permission and Family Workspace context.</t>
  </si>
  <si>
    <t>UC11 and protected UCs</t>
  </si>
  <si>
    <t>Auth / Permission</t>
  </si>
  <si>
    <t>Backend guard rule for all protected APIs.</t>
  </si>
  <si>
    <t>BR-AUTH-03</t>
  </si>
  <si>
    <t>Email/phone number must be unique in the system. If an account already exists, the system must not create a duplicated account.</t>
  </si>
  <si>
    <t>Existing verified account should be redirected to login or forgot password; existing unverified account can resend verification.</t>
  </si>
  <si>
    <t>BR-WS-01</t>
  </si>
  <si>
    <t>Workspace</t>
  </si>
  <si>
    <t>The first user who creates a Family Workspace becomes the only main Family Manager.</t>
  </si>
  <si>
    <t>BR-WS-02</t>
  </si>
  <si>
    <t>A Family Workspace can be fully used only when subscription and activation status are valid.</t>
  </si>
  <si>
    <t>UC04, UC12</t>
  </si>
  <si>
    <t>Subscription / Workspace</t>
  </si>
  <si>
    <t>Supports onboarding and Admin workspace monitoring.</t>
  </si>
  <si>
    <t>BR-SUB-01</t>
  </si>
  <si>
    <t>Subscription plans are limited to Free, Plus and Premium in current scope. Paid plans are annual-only.</t>
  </si>
  <si>
    <t>Admin, Family Manager</t>
  </si>
  <si>
    <t>UC01, UC12, UC76-UC78</t>
  </si>
  <si>
    <t>Plans are differentiated by feature access, not mainly by member count.</t>
  </si>
  <si>
    <t>BR-SUB-02</t>
  </si>
  <si>
    <t>Free plan is applied by default when a Family Workspace is created and has no annual payment requirement.</t>
  </si>
  <si>
    <t>UC01, UC12, UC76</t>
  </si>
  <si>
    <t>Free is for trial/basic usage.</t>
  </si>
  <si>
    <t>BR-SUB-03</t>
  </si>
  <si>
    <t>Plus plan is a paid annual plan that unlocks full finance planning, planned-vs-actual report, budget alerts, export report and full task reward management.</t>
  </si>
  <si>
    <t>UC01, UC29, UC30, UC45-UC49, UC76, UC77</t>
  </si>
  <si>
    <t>Plus is the main family management plan.</t>
  </si>
  <si>
    <t>BR-SUB-04</t>
  </si>
  <si>
    <t>Premium plan is a paid annual plan that unlocks AI finance insight, AI saving suggestions, wearable SOS, fall detection alert and advanced safety history.</t>
  </si>
  <si>
    <t>UC01, UC56-UC59, UC65-UC68, UC76, UC77</t>
  </si>
  <si>
    <t>Subscription / AI / SOS</t>
  </si>
  <si>
    <t>Premium is differentiated by AI and Safety value.</t>
  </si>
  <si>
    <t>BR-SUB-05</t>
  </si>
  <si>
    <t>If an annual subscription expires, advanced features are locked but existing family data remains viewable according to permission.</t>
  </si>
  <si>
    <t>UC76, UC78</t>
  </si>
  <si>
    <t>Avoid deleting or hiding existing user data after expiry.</t>
  </si>
  <si>
    <t>BR-SUB-06</t>
  </si>
  <si>
    <t>Only Family Manager can upgrade, renew or cancel the annual subscription plan.</t>
  </si>
  <si>
    <t>Deputy should not manage payment unless explicitly allowed in future.</t>
  </si>
  <si>
    <t>BR-SUB-07</t>
  </si>
  <si>
    <t>Subscription / Feature Access</t>
  </si>
  <si>
    <t>Feature access is controlled by the current subscription plan and must be checked before advanced functions are used.</t>
  </si>
  <si>
    <t>Family Workspace, System</t>
  </si>
  <si>
    <t>UC01, UC76-UC78</t>
  </si>
  <si>
    <t>Feature gates should match Subscription Plan Matrix.</t>
  </si>
  <si>
    <t>BR-SUB-08</t>
  </si>
  <si>
    <t>Subscription / Annual Billing</t>
  </si>
  <si>
    <t>Paid subscription plans are billed annually only. Monthly billing and switching between monthly/yearly cycles are out of scope for MVP.</t>
  </si>
  <si>
    <t>Family Workspace, Family Manager</t>
  </si>
  <si>
    <t>UC01, UC76, UC77, UC78</t>
  </si>
  <si>
    <t>Annual-only billing keeps MVP billing logic simple and consistent.</t>
  </si>
  <si>
    <t>BR-SUB-09</t>
  </si>
  <si>
    <t>Subscription / Upgrade</t>
  </si>
  <si>
    <t>If a Family Manager upgrades from Plus to Premium during an active yearly subscription, the system calculates the upgrade fee based on the annual price difference and the remaining days of the current subscription period.</t>
  </si>
  <si>
    <t>Family Manager, System</t>
  </si>
  <si>
    <t>Upgrade fee = (Premium yearly price - Plus yearly price) × remaining days / 365.</t>
  </si>
  <si>
    <t>BR-SUB-10</t>
  </si>
  <si>
    <t>Subscription / Feature Activation</t>
  </si>
  <si>
    <t>After successful upgrade payment, Premium features are activated immediately while the original subscription expiration date remains unchanged.</t>
  </si>
  <si>
    <t>UC76, UC77</t>
  </si>
  <si>
    <t>Next renewal uses the Premium annual price.</t>
  </si>
  <si>
    <t>BR-FIN-01</t>
  </si>
  <si>
    <t>Family Manager and delegated Deputy members can manage the family fund ledger for planning and tracking purposes only.</t>
  </si>
  <si>
    <t>Family Manager, delegated Deputy member</t>
  </si>
  <si>
    <t>Yes</t>
  </si>
  <si>
    <t>UC31-UC33</t>
  </si>
  <si>
    <t>Finance / Family Fund Ledger</t>
  </si>
  <si>
    <t>Deputy scope must be explicit.</t>
  </si>
  <si>
    <t>BR-FIN-02</t>
  </si>
  <si>
    <t>Family Member cannot directly change family fund ledger support records; they must submit a spending support request.</t>
  </si>
  <si>
    <t>UC34, UC35</t>
  </si>
  <si>
    <t>Approval workflow only, not withdrawal.</t>
  </si>
  <si>
    <t>BR-FIN-03</t>
  </si>
  <si>
    <t>Approved spending support request creates related internal ledger or allowance records only.</t>
  </si>
  <si>
    <t>No real transfer, no member wallet balance, no cash-out.</t>
  </si>
  <si>
    <t>BR-FIN-04</t>
  </si>
  <si>
    <t>All finance ledger records must include type, amount, actor, timestamp, note and related request ID when applicable.</t>
  </si>
  <si>
    <t>UC31-UC36</t>
  </si>
  <si>
    <t>Ledger history is not bank/payment transaction history.</t>
  </si>
  <si>
    <t>Planned family budget is calculated from member-declared personal income/expense plus manager-defined shared family income/fund and shared family expenses.</t>
  </si>
  <si>
    <t>Family Manager, Family Member, System</t>
  </si>
  <si>
    <t>Can view/manage shared part if delegated</t>
  </si>
  <si>
    <t>UC22, UC24, UC25, UC26, UC29, UC30</t>
  </si>
  <si>
    <t>Formula should respect privacy/permission.</t>
  </si>
  <si>
    <t>BR-FIN-06</t>
  </si>
  <si>
    <t>Family Members own their personal income and personal expense declaration; Family Manager manages shared family income/fund and shared expenses, and views personal details only according to permission/privacy rules.</t>
  </si>
  <si>
    <t>UC21, UC22, UC26, UC27, UC29</t>
  </si>
  <si>
    <t>Prevents Manager from editing each member's private finance by default.</t>
  </si>
  <si>
    <t>BR-FIN-07</t>
  </si>
  <si>
    <t>Family Fund Ledger is only an internal record; the system does not hold, withdraw or transfer real user money.</t>
  </si>
  <si>
    <t>UC28, UC31-UC36</t>
  </si>
  <si>
    <t>Critical legal-risk clarification after Review 1.</t>
  </si>
  <si>
    <t>BR-FIN-08</t>
  </si>
  <si>
    <t>Finance / Subscription</t>
  </si>
  <si>
    <t>Payment gateway is used only for subscription, not for Family Fund, allowance or reward records.</t>
  </si>
  <si>
    <t>System, Family Manager</t>
  </si>
  <si>
    <t>UC01, UC31-UC36, UC77</t>
  </si>
  <si>
    <t>Subscription / Finance</t>
  </si>
  <si>
    <t>Separates real payment from internal family finance records.</t>
  </si>
  <si>
    <t>Task can be ad-hoc or recurring mandatory.</t>
  </si>
  <si>
    <t>UC37, UC38, UC39</t>
  </si>
  <si>
    <t>Keep two task types.</t>
  </si>
  <si>
    <t>Recurring mandatory task cannot be ignored; it must be assigned, taken over or handled with reason.</t>
  </si>
  <si>
    <t>Family Member, Family Manager</t>
  </si>
  <si>
    <t>UC39-UC42</t>
  </si>
  <si>
    <t>Core rule.</t>
  </si>
  <si>
    <t>Family Member can submit completion only for assigned tasks.</t>
  </si>
  <si>
    <t>UC43, UC44</t>
  </si>
  <si>
    <t>Backend permission check.</t>
  </si>
  <si>
    <t>BR-TASK-04</t>
  </si>
  <si>
    <t>Reward settlement record is created only after task completion is approved.</t>
  </si>
  <si>
    <t>UC44, UC45, UC49</t>
  </si>
  <si>
    <t>Task approval creates reward obligation, not proof that real money/reward has been received.</t>
  </si>
  <si>
    <t>BR-REW-01</t>
  </si>
  <si>
    <t>Reward Settlement</t>
  </si>
  <si>
    <t>Task approved does not mean reward received; approved reward starts with Pending Settlement status.</t>
  </si>
  <si>
    <t>System, Family Member, Family Manager</t>
  </si>
  <si>
    <t>Solves issue: approved task but assigned member has not received reward yet.</t>
  </si>
  <si>
    <t>BR-REW-02</t>
  </si>
  <si>
    <t>Reward settlement is an external/offline action; the system only records settlement status, method, amount, note and optional proof.</t>
  </si>
  <si>
    <t>Family Manager, Deputy, System</t>
  </si>
  <si>
    <t>UC45, UC46, UC60</t>
  </si>
  <si>
    <t>Reward / Notification</t>
  </si>
  <si>
    <t>External methods can be cash, bank transfer, third-party payment app or other family-managed method.</t>
  </si>
  <si>
    <t>BR-REW-03</t>
  </si>
  <si>
    <t>Family Manager or delegated Deputy can mark reward as settled externally after paying/rewarding outside the system.</t>
  </si>
  <si>
    <t>Marking settled externally does not mean member has confirmed receipt yet.</t>
  </si>
  <si>
    <t>Assigned member must confirm reward received before reward status becomes fully Settled.</t>
  </si>
  <si>
    <t>UC47, UC49</t>
  </si>
  <si>
    <t>Solves issue: actual reward receipt must be confirmed by assigned member.</t>
  </si>
  <si>
    <t>If assigned member reports not received, reward status becomes Disputed and requires Family Manager or delegated Deputy review.</t>
  </si>
  <si>
    <t>Family Member, Family Manager, delegated Deputy member</t>
  </si>
  <si>
    <t>UC48, UC49</t>
  </si>
  <si>
    <t>Dispute handles mismatch between manager-settled record and member receipt confirmation.</t>
  </si>
  <si>
    <t>BR-REW-06</t>
  </si>
  <si>
    <t>Reward settlement notifications must clearly separate task approval, external settlement marking, member receipt confirmation and dispute.</t>
  </si>
  <si>
    <t>System, All Family Members</t>
  </si>
  <si>
    <t>UC45-UC48, UC60</t>
  </si>
  <si>
    <t>Notification wording must not say that money was transferred by the system.</t>
  </si>
  <si>
    <t>BR-SOS-01</t>
  </si>
  <si>
    <t>All Family Members can trigger SOS from supported channels.</t>
  </si>
  <si>
    <t>UC50, UC57</t>
  </si>
  <si>
    <t>No special role required.</t>
  </si>
  <si>
    <t>SOS notification has higher priority than normal notifications.</t>
  </si>
  <si>
    <t>UC50, UC51, UC57, UC58, UC60</t>
  </si>
  <si>
    <t>Important demo behavior.</t>
  </si>
  <si>
    <t>SOS can be resolved/canceled only with safety confirmation or clear handling reason.</t>
  </si>
  <si>
    <t>UC52, UC53</t>
  </si>
  <si>
    <t>Store history.</t>
  </si>
  <si>
    <t>Basic location/route history is recorded only when available, allowed and SOS is active.</t>
  </si>
  <si>
    <t>UC54, UC59</t>
  </si>
  <si>
    <t>Advanced GPS tracking is Future.</t>
  </si>
  <si>
    <t>BR-SOS-05</t>
  </si>
  <si>
    <t>SOS can be triggered from mobile app or wearable/safety device.</t>
  </si>
  <si>
    <t>Family Member, System</t>
  </si>
  <si>
    <t>UC50, UC55-UC59</t>
  </si>
  <si>
    <t>Clarifies wearable scope after Review 1.</t>
  </si>
  <si>
    <t>BR-SOS-06</t>
  </si>
  <si>
    <t>Wearable integration can be simulated in demo if real device integration is unstable.</t>
  </si>
  <si>
    <t>System, Family Member</t>
  </si>
  <si>
    <t>UC56-UC58</t>
  </si>
  <si>
    <t>Demo-safe implementation rule.</t>
  </si>
  <si>
    <t>BR-LOC-01</t>
  </si>
  <si>
    <t>Location Privacy</t>
  </si>
  <si>
    <t>Normal family location tracking should be opt-in/permission-based and can be disabled by the member according to privacy settings.</t>
  </si>
  <si>
    <t>UC79, UC80, UC81</t>
  </si>
  <si>
    <t>Location / Privacy</t>
  </si>
  <si>
    <t>Routine tracking is separate from emergency SOS behavior.</t>
  </si>
  <si>
    <t>BR-LOC-02</t>
  </si>
  <si>
    <t>Location Data Separation</t>
  </si>
  <si>
    <t>Normal member location tracking must use MemberLocationPoint, while active SOS route tracking must use SOSLocationPoint.</t>
  </si>
  <si>
    <t>UC80, UC81, UC54, UC59</t>
  </si>
  <si>
    <t>Location / SOS</t>
  </si>
  <si>
    <t>Prevents mixing routine family tracking with emergency SOS route history.</t>
  </si>
  <si>
    <t>BR-LOC-03</t>
  </si>
  <si>
    <t>Location Permission</t>
  </si>
  <si>
    <t>Only authorized members in the same Family Workspace can view shared member locations, and the system must respect sharing status and role/permission rules.</t>
  </si>
  <si>
    <t>Family Manager, Deputy, Authorized Family Member</t>
  </si>
  <si>
    <t>UC79, UC81</t>
  </si>
  <si>
    <t>Location / Permission</t>
  </si>
  <si>
    <t>If location sharing is disabled or viewer has no permission, location must be hidden.</t>
  </si>
  <si>
    <t>BR-LOC-04</t>
  </si>
  <si>
    <t>Location Validation</t>
  </si>
  <si>
    <t>Each recorded location point must belong to the correct workspace/member and must contain valid latitude, longitude, source type, accuracy when available, and recorded timestamp.</t>
  </si>
  <si>
    <t>System, Mobile App, Wearable Device</t>
  </si>
  <si>
    <t>Location / Validation</t>
  </si>
  <si>
    <t>Latitude must be between -90 and 90; longitude must be between -180 and 180.</t>
  </si>
  <si>
    <t>BR-COM-01</t>
  </si>
  <si>
    <t>Family notifications must be delivered within the same Family Workspace and categorized by type.</t>
  </si>
  <si>
    <t>Notification types: task, reward settlement, spending support request, announcement, SOS.</t>
  </si>
  <si>
    <t>Family chat is limited to members of the same Family Workspace.</t>
  </si>
  <si>
    <t>UC61, UC62</t>
  </si>
  <si>
    <t>Prevent cross-family data leakage.</t>
  </si>
  <si>
    <t>Family announcement can be sent by Family Manager or member with delegated permission.</t>
  </si>
  <si>
    <t>Do not create new actor.</t>
  </si>
  <si>
    <t>BR-COM-04</t>
  </si>
  <si>
    <t>Quick safety communication supports SOS context only and must remain basic in current scope.</t>
  </si>
  <si>
    <t>No real call/rescue service integration in current scope.</t>
  </si>
  <si>
    <t>BR-AI-01</t>
  </si>
  <si>
    <t>AI can only access and summarize data that the current user is allowed to view within the user's Family Workspace.</t>
  </si>
  <si>
    <t>All Users, AI Assistant</t>
  </si>
  <si>
    <t>AI / Permission</t>
  </si>
  <si>
    <t>Prevents AI from leaking cross-family or unauthorized data.</t>
  </si>
  <si>
    <t>BR-AI-02</t>
  </si>
  <si>
    <t>AI only provides summaries, reminders and suggestions; it cannot make financial, task, reward or SOS decisions automatically.</t>
  </si>
  <si>
    <t>AI Assistant, System</t>
  </si>
  <si>
    <t>UC65, UC67, UC68</t>
  </si>
  <si>
    <t>User confirmation is required for any real action.</t>
  </si>
  <si>
    <t>BR-AI-03</t>
  </si>
  <si>
    <t>Sensitive finance information must not be exposed to unauthorized Family Members through AI responses.</t>
  </si>
  <si>
    <t>Family Manager, Family Member, delegated Deputy member</t>
  </si>
  <si>
    <t>AI / Finance / Privacy</t>
  </si>
  <si>
    <t>AI finance summary must respect finance privacy rules.</t>
  </si>
  <si>
    <t>BR-AI-04</t>
  </si>
  <si>
    <t>Advanced AI prediction, automation, optimization and autonomous decision-making are Future Enhancements.</t>
  </si>
  <si>
    <t>AI Assistant</t>
  </si>
  <si>
    <t>Future</t>
  </si>
  <si>
    <t>Keep MVP AI basic and safe.</t>
  </si>
  <si>
    <t>BR-AI-05</t>
  </si>
  <si>
    <t>AI finance insight only summarizes and suggests; it cannot automatically change budgets, ledger records, rewards or SOS status.</t>
  </si>
  <si>
    <t>Keeps AI as advisory feature.</t>
  </si>
  <si>
    <t>Finance Model</t>
  </si>
  <si>
    <t>Family can select a finance model such as 5 Jars, 80/20, or Custom model for budgeting and allocation.</t>
  </si>
  <si>
    <t>UC82, UC83</t>
  </si>
  <si>
    <t>Added from 02/06 mentor note about using a finance management model.</t>
  </si>
  <si>
    <t>BR-FIN-JAR-01</t>
  </si>
  <si>
    <t>Finance Jar / Fund</t>
  </si>
  <si>
    <t>Each finance jar/fund has name, purpose, allocation percentage or threshold, and can be used for budgeting or goal tracking.</t>
  </si>
  <si>
    <t>Family Manager, delegated Deputy member, System</t>
  </si>
  <si>
    <t>UC83, UC87, UC90</t>
  </si>
  <si>
    <t>Example jars: essential, non-essential, saving goal, education, emergency.</t>
  </si>
  <si>
    <t>Finance Category</t>
  </si>
  <si>
    <t>Each income or expense record should be categorized into a finance category/jar for reporting, alerting and AI suggestion.</t>
  </si>
  <si>
    <t>UC84, UC91</t>
  </si>
  <si>
    <t>Manual classification is Must-have; AI/OCR suggestion is optional.</t>
  </si>
  <si>
    <t>Each expense should be marked as Essential or Non-essential to support spending control, saving suggestions and goal-risk alerts.</t>
  </si>
  <si>
    <t>UC85, UC89, UC91</t>
  </si>
  <si>
    <t>Essential: food, utilities, tuition. Non-essential: entertainment, games, optional shopping.</t>
  </si>
  <si>
    <t>Financial Goal</t>
  </si>
  <si>
    <t>Financial goal must have target amount, deadline, related fund, current progress and monthly contribution target.</t>
  </si>
  <si>
    <t>UC86, UC87, UC88</t>
  </si>
  <si>
    <t>Example: buy a 30M VND motorbike by year-end.</t>
  </si>
  <si>
    <t>Finance Alert</t>
  </si>
  <si>
    <t>System alerts when spending exceeds threshold, non-essential spending is too high, or financial goal progress is at risk.</t>
  </si>
  <si>
    <t>System, Family Manager, Family Member</t>
  </si>
  <si>
    <t>UC30, UC88, UC89</t>
  </si>
  <si>
    <t>Extends Budget Alerts into Budget and Goal Risk Alerts.</t>
  </si>
  <si>
    <t>BR-REW-JAR-01</t>
  </si>
  <si>
    <t>Reward / Finance Jar</t>
  </si>
  <si>
    <t>Task reward should be allocated to a finance jar or goal fund after member confirms reward receipt.</t>
  </si>
  <si>
    <t>UC47, UC90</t>
  </si>
  <si>
    <t>Reward Settlement / Finance</t>
  </si>
  <si>
    <t>Added from 02/06 mentor note: reward must know which jar it belongs to.</t>
  </si>
  <si>
    <t>AI/OCR only suggests category, jar, essential/non-essential type or saving advice; user must confirm the final finance record.</t>
  </si>
  <si>
    <t>AI Assistant, System, User</t>
  </si>
  <si>
    <t>UC91, UC65-UC68</t>
  </si>
  <si>
    <t>OCR/LLM should remain supporting technology, not core MVP dependency.</t>
  </si>
  <si>
    <t>Family calendar events are shared within the same Family Workspace and can be managed by Family Manager or delegated Deputy.</t>
  </si>
  <si>
    <t>Family Manager, Deputy, All Family Members</t>
  </si>
  <si>
    <t>UC70, UC71</t>
  </si>
  <si>
    <t>All members can view; creation/editing is permission-based.</t>
  </si>
  <si>
    <t>Shared family album media is visible only within the same Family Workspace according to permission.</t>
  </si>
  <si>
    <t>UC72, UC73, UC74</t>
  </si>
  <si>
    <t>Basic album upload/view remains supporting.</t>
  </si>
  <si>
    <t>BR-ALB-02</t>
  </si>
  <si>
    <t>Face clustering is not required for MVP; it is a future enhancement or demo-only feature.</t>
  </si>
  <si>
    <t>UC74, UC75</t>
  </si>
  <si>
    <t>MVP focuses on shared album and optional manual tagging.</t>
  </si>
  <si>
    <t>BR-ADM-01</t>
  </si>
  <si>
    <t>Admin Dashboard is Web only.</t>
  </si>
  <si>
    <t>UC01-UC08</t>
  </si>
  <si>
    <t>No Admin mobile app.</t>
  </si>
  <si>
    <t>Deployment</t>
  </si>
  <si>
    <t>Docker is used only for local/demo deployment with Docker Desktop / Docker Compose.</t>
  </si>
  <si>
    <t>System, Admin</t>
  </si>
  <si>
    <t>UC05-UC07</t>
  </si>
  <si>
    <t>Docker Demo</t>
  </si>
  <si>
    <t>No production-grade infrastructure in current scope.</t>
  </si>
  <si>
    <t>BR-FUT-01</t>
  </si>
  <si>
    <t>Kubernetes, auto-scaling, CPU/RAM/disk monitoring and backup/restore automation are Future Enhancements.</t>
  </si>
  <si>
    <t>UC05-UC08</t>
  </si>
  <si>
    <t>Do not implement now.</t>
  </si>
  <si>
    <t>Screen Name</t>
  </si>
  <si>
    <t>Platform</t>
  </si>
  <si>
    <t>API Endpoint</t>
  </si>
  <si>
    <t>Method</t>
  </si>
  <si>
    <t>Request DTO</t>
  </si>
  <si>
    <t>Response DTO</t>
  </si>
  <si>
    <t>DB Tables / Entities</t>
  </si>
  <si>
    <t>FE Owner</t>
  </si>
  <si>
    <t>BE Owner</t>
  </si>
  <si>
    <t>Manage Basic Subscription Plans</t>
  </si>
  <si>
    <t>Admin Web</t>
  </si>
  <si>
    <t>/api/admin</t>
  </si>
  <si>
    <t>GET/POST/PATCH</t>
  </si>
  <si>
    <t>TBD</t>
  </si>
  <si>
    <t>SubscriptionPlan, FamilyWorkspace, ProvisioningLog, AccountStatus</t>
  </si>
  <si>
    <t>Add exact endpoint after API design.</t>
  </si>
  <si>
    <t>Register Account</t>
  </si>
  <si>
    <t>Flutter Mobile</t>
  </si>
  <si>
    <t>/api/auth</t>
  </si>
  <si>
    <t>POST</t>
  </si>
  <si>
    <t>User, AuthSession</t>
  </si>
  <si>
    <t>/api/families</t>
  </si>
  <si>
    <t>Family, FamilyMember, Invitation, RolePermission</t>
  </si>
  <si>
    <t>Manage Member Financial Profiles</t>
  </si>
  <si>
    <t>/api/finance</t>
  </si>
  <si>
    <t>MemberFinancialProfile, ExpenseCategory, Budget, FamilyFund</t>
  </si>
  <si>
    <t>Update Personal Financial Information</t>
  </si>
  <si>
    <t>Set Expected Family Income</t>
  </si>
  <si>
    <t>Set Expected Expenses</t>
  </si>
  <si>
    <t>Record Actual Income and Personal Expense</t>
  </si>
  <si>
    <t>/api/finance/ledger</t>
  </si>
  <si>
    <t>FamilyFundLedger, LedgerEntry, AllowanceRecord, RewardSettlement, SpendingSupportRequest</t>
  </si>
  <si>
    <t>Internal family fund ledger only; no real money is held by the system.</t>
  </si>
  <si>
    <t>/api/finance/ledger/contributions</t>
  </si>
  <si>
    <t>FamilyFundLedger, LedgerEntry</t>
  </si>
  <si>
    <t>Replaces old top-up wallet use case. This is a ledger record, not a payment transaction.</t>
  </si>
  <si>
    <t>/api/finance/allowances</t>
  </si>
  <si>
    <t>AllowanceRecord, RewardSettlement, LedgerEntry, FamilyMember</t>
  </si>
  <si>
    <t>Replaces old money request use case. Approval workflow only, not a withdrawal.</t>
  </si>
  <si>
    <t>/api/finance/support-requests</t>
  </si>
  <si>
    <t>SpendingSupportRequest, Notification, FamilyMember</t>
  </si>
  <si>
    <t>Replaces Spending Support Request. Approval workflow only, not a withdrawal.</t>
  </si>
  <si>
    <t>/api/finance/support-requests/{id}</t>
  </si>
  <si>
    <t>PATCH</t>
  </si>
  <si>
    <t>SpendingSupportRequest, LedgerEntry, AllowanceRecord, Notification</t>
  </si>
  <si>
    <t>Approval creates internal ledger/allowance records only.</t>
  </si>
  <si>
    <t>/api/finance/ledger/history</t>
  </si>
  <si>
    <t>GET</t>
  </si>
  <si>
    <t>Ledger history only, not bank/payment transaction history.</t>
  </si>
  <si>
    <t>/api/tasks/categories</t>
  </si>
  <si>
    <t>TaskCategory</t>
  </si>
  <si>
    <t>/api/tasks</t>
  </si>
  <si>
    <t>Task, TaskAssignment, RewardSetting</t>
  </si>
  <si>
    <t>/api/tasks/recurring</t>
  </si>
  <si>
    <t>Task, TaskSchedule, TaskAssignment, RewardSetting</t>
  </si>
  <si>
    <t>/api/tasks/{id}/assignment</t>
  </si>
  <si>
    <t>Task, TaskAssignment, Notification</t>
  </si>
  <si>
    <t>/api/tasks/{id}/unavailability</t>
  </si>
  <si>
    <t>TaskUnavailability, Task, Notification</t>
  </si>
  <si>
    <t>/api/tasks/{id}/takeover</t>
  </si>
  <si>
    <t>Task, TaskAssignment, TaskUnavailability</t>
  </si>
  <si>
    <t>/api/tasks/{id}/completion</t>
  </si>
  <si>
    <t>TaskCompletion, TaskProof, TaskAssignment</t>
  </si>
  <si>
    <t>Proof may include note/image/video if supported.</t>
  </si>
  <si>
    <t>/api/tasks/{id}/completion-review</t>
  </si>
  <si>
    <t>TaskCompletion, Task, RewardSettlement</t>
  </si>
  <si>
    <t>Task approval does not mean reward has been paid.</t>
  </si>
  <si>
    <t>/api/rewards/settlements</t>
  </si>
  <si>
    <t>RewardSettlement, Task, TaskCompletion, Notification</t>
  </si>
  <si>
    <t>Created after approved task completion if the task has reward.</t>
  </si>
  <si>
    <t>/api/rewards/settlements/{id}/external-settlement</t>
  </si>
  <si>
    <t>RewardSettlement, ExternalSettlementProof, Notification</t>
  </si>
  <si>
    <t>System only records external/offline settlement status.</t>
  </si>
  <si>
    <t>/api/rewards/settlements/{id}/confirm-received</t>
  </si>
  <si>
    <t>RewardSettlement, Notification</t>
  </si>
  <si>
    <t>Member confirmation is required before status becomes Settled.</t>
  </si>
  <si>
    <t>/api/rewards/settlements/{id}/dispute</t>
  </si>
  <si>
    <t>RewardSettlement, RewardDispute, Notification</t>
  </si>
  <si>
    <t>Used when member has not actually received the reward.</t>
  </si>
  <si>
    <t>/api/tasks/my-history</t>
  </si>
  <si>
    <t>Task, TaskAssignment, TaskCompletion, RewardSettlement</t>
  </si>
  <si>
    <t>Shows task status and reward settlement status.</t>
  </si>
  <si>
    <t>/api/sos-alerts</t>
  </si>
  <si>
    <t>SOSAlert, SOSResponse, LocationHistory, Notification</t>
  </si>
  <si>
    <t>Mobile SOS remains core.</t>
  </si>
  <si>
    <t>/api/sos-alerts/{id}</t>
  </si>
  <si>
    <t>GET/POST</t>
  </si>
  <si>
    <t>SOSAlert, SOSResponse, LocationHistory</t>
  </si>
  <si>
    <t>Family members can view and respond to active SOS.</t>
  </si>
  <si>
    <t>/api/sos-alerts/{id}/confirm-safety</t>
  </si>
  <si>
    <t>SOSAlert, SOSResponse</t>
  </si>
  <si>
    <t>Safety confirmation is traceable.</t>
  </si>
  <si>
    <t>/api/sos-alerts/{id}/resolve</t>
  </si>
  <si>
    <t>Requires permission and reason/confirmation.</t>
  </si>
  <si>
    <t>/api/sos-alerts/{id}/location-history</t>
  </si>
  <si>
    <t>SOSAlert, LocationHistory</t>
  </si>
  <si>
    <t>Only active-SOS route/location history.</t>
  </si>
  <si>
    <t>/api/sos-alerts/settings</t>
  </si>
  <si>
    <t>SOSSettingsDto</t>
  </si>
  <si>
    <t>SOSSettingsResponseDto</t>
  </si>
  <si>
    <t>SOSSetting, EmergencyContact</t>
  </si>
  <si>
    <t>Settings define SOS notification behavior.</t>
  </si>
  <si>
    <t>/api/wearables/pairing</t>
  </si>
  <si>
    <t>WearableDevice, SOSSetting, FamilyMember</t>
  </si>
  <si>
    <t>Can be simulated for demo.</t>
  </si>
  <si>
    <t>/api/wearables/sos-trigger</t>
  </si>
  <si>
    <t>WearableDevice, SOSAlert, LocationHistory, Notification</t>
  </si>
  <si>
    <t>Proves SOS can be triggered from device.</t>
  </si>
  <si>
    <t>/api/wearables/fall-alerts</t>
  </si>
  <si>
    <t>WearableDevice, SOSAlert, SensorEvent, Notification</t>
  </si>
  <si>
    <t>Can be simulated with test sensor data/manual dev trigger.</t>
  </si>
  <si>
    <t>/api/sos-alerts/{id}/live-location</t>
  </si>
  <si>
    <t>Basic only; advanced continuous GPS is future.</t>
  </si>
  <si>
    <t>/api/notifications</t>
  </si>
  <si>
    <t>GET/PATCH</t>
  </si>
  <si>
    <t>Notification, FamilyMember</t>
  </si>
  <si>
    <t>Includes task, reward settlement, spending support request, announcement and SOS.</t>
  </si>
  <si>
    <t>/api/chats/group</t>
  </si>
  <si>
    <t>ChatRoom, Message, FamilyMember</t>
  </si>
  <si>
    <t>Basic text message only for MVP.</t>
  </si>
  <si>
    <t>/api/chats/private</t>
  </si>
  <si>
    <t>Could-have after group chat.</t>
  </si>
  <si>
    <t>/api/announcements</t>
  </si>
  <si>
    <t>Announcement, Notification, FamilyMember</t>
  </si>
  <si>
    <t>Family Manager or delegated member sends announcement.</t>
  </si>
  <si>
    <t>/api/sos-alerts/quick-actions</t>
  </si>
  <si>
    <t>SOSAlert, SOSResponse, Message</t>
  </si>
  <si>
    <t>Keep as quick message/call-support button; no real rescue/call integration.</t>
  </si>
  <si>
    <t>/api/ai-assistant/chat</t>
  </si>
  <si>
    <t>AskAIRequestDto</t>
  </si>
  <si>
    <t>AIAnswerResponseDto</t>
  </si>
  <si>
    <t>AIConversation, AIMessage, User, FamilyMember, FamilyWorkspace</t>
  </si>
  <si>
    <t>Basic AI Q&amp;A based on authorized family data.</t>
  </si>
  <si>
    <t>/api/ai-assistant/finance-summary</t>
  </si>
  <si>
    <t>AIFinanceSummaryRequestDto</t>
  </si>
  <si>
    <t>AIFinanceSummaryResponseDto</t>
  </si>
  <si>
    <t>Budget, FamilyFundLedger, LedgerEntry, SpendingSupportRequest, MemberFinancialProfile</t>
  </si>
  <si>
    <t>Nghĩa</t>
  </si>
  <si>
    <t>Must check finance permission before generating summary.</t>
  </si>
  <si>
    <t>/api/ai-assistant/task-summary</t>
  </si>
  <si>
    <t>AITaskSummaryRequestDto</t>
  </si>
  <si>
    <t>AITaskSummaryResponseDto</t>
  </si>
  <si>
    <t>Task, TaskAssignment, TaskCompletion, RewardSettlement, FamilyMember</t>
  </si>
  <si>
    <t>AI summarizes task/reward settlement status only.</t>
  </si>
  <si>
    <t>/api/ai-assistant/saving-suggestions</t>
  </si>
  <si>
    <t>AISavingSuggestionRequestDto</t>
  </si>
  <si>
    <t>AISavingSuggestionResponseDto</t>
  </si>
  <si>
    <t>Budget, ExpenseCategory, LedgerEntry, FamilyFundLedger</t>
  </si>
  <si>
    <t>Advisory only; AI does not change data automatically.</t>
  </si>
  <si>
    <t>/api/auth/forgot-password</t>
  </si>
  <si>
    <t>ForgotPasswordDto</t>
  </si>
  <si>
    <t>ForgotPasswordResponseDto</t>
  </si>
  <si>
    <t>User, PasswordResetToken</t>
  </si>
  <si>
    <t>Password recovery flow.</t>
  </si>
  <si>
    <t>/api/calendar/events</t>
  </si>
  <si>
    <t>CreateEventDto</t>
  </si>
  <si>
    <t>EventResponseDto</t>
  </si>
  <si>
    <t>FamilyCalendarEvent</t>
  </si>
  <si>
    <t>Family Manager or Deputy creates shared event.</t>
  </si>
  <si>
    <t>List&lt;EventResponseDto&gt;</t>
  </si>
  <si>
    <t>All family members view shared calendar.</t>
  </si>
  <si>
    <t>/api/album/media</t>
  </si>
  <si>
    <t>UploadMediaDto</t>
  </si>
  <si>
    <t>MediaResponseDto</t>
  </si>
  <si>
    <t>FamilyAlbumMedia</t>
  </si>
  <si>
    <t>Basic upload/view remains supporting.</t>
  </si>
  <si>
    <t>List&lt;MediaResponseDto&gt;</t>
  </si>
  <si>
    <t>Basic shared album remains supporting.</t>
  </si>
  <si>
    <t>/api/album/media/{id}/tags</t>
  </si>
  <si>
    <t>POST/PATCH</t>
  </si>
  <si>
    <t>FamilyAlbumMedia, AlbumMediaTag, FamilyMember</t>
  </si>
  <si>
    <t>Manual tagging is safer for MVP.</t>
  </si>
  <si>
    <t>/api/album/face-grouping/suggestions</t>
  </si>
  <si>
    <t>FamilyAlbumMedia, FaceGroupingSuggestion, AIMessage</t>
  </si>
  <si>
    <t>Future/demo-only enhancement.</t>
  </si>
  <si>
    <t>/api/subscriptions/current</t>
  </si>
  <si>
    <t>SubscriptionPlan, SubscriptionPeriod, FamilyWorkspace, FeatureAccess</t>
  </si>
  <si>
    <t>Shows annual plan, yearly price, expiration date, remaining days and available/locked features.</t>
  </si>
  <si>
    <t>/api/subscriptions/upgrade-preview; /api/subscriptions/upgrade</t>
  </si>
  <si>
    <t>UpgradePreviewRequestDto; UpgradeSubscriptionRequestDto</t>
  </si>
  <si>
    <t>UpgradePreviewResponseDto; SubscriptionPaymentResponseDto</t>
  </si>
  <si>
    <t>SubscriptionPlan, SubscriptionPeriod, SubscriptionPayment, UpgradeInvoice, FamilyWorkspace, FeatureAccess</t>
  </si>
  <si>
    <t>Preview prorated upgrade fee before payment. Plus-to-Premium upgrade uses annual price difference and remaining days. Payment is only for subscription.</t>
  </si>
  <si>
    <t>/api/subscriptions/limited-access</t>
  </si>
  <si>
    <t>Expired annual plan locks advanced features but keeps existing data viewable.</t>
  </si>
  <si>
    <t>Location Sharing Settings</t>
  </si>
  <si>
    <t>/api/location-sharing</t>
  </si>
  <si>
    <t>UpdateLocationSharingDto</t>
  </si>
  <si>
    <t>LocationSharingStatusResponseDto</t>
  </si>
  <si>
    <t>FamilyMember, FamilyWorkspace</t>
  </si>
  <si>
    <t>May be stored as member setting/profile depending on final implementation.</t>
  </si>
  <si>
    <t>Flutter Mobile / Wearable</t>
  </si>
  <si>
    <t>/api/locations/member-points</t>
  </si>
  <si>
    <t>RecordMemberLocationPointDto</t>
  </si>
  <si>
    <t>MemberLocationPointResponseDto</t>
  </si>
  <si>
    <t>MemberLocationPoint, FamilyMember, FamilyWorkspace, WearableDevice</t>
  </si>
  <si>
    <t>Normal tracking record. Do not use SOSLocationPoint unless an SOS alert is active.</t>
  </si>
  <si>
    <t>MemberLocationQueryDto</t>
  </si>
  <si>
    <t>List&lt;MemberLocationPointResponseDto&gt;</t>
  </si>
  <si>
    <t>MemberLocationPoint, FamilyMember, FamilyWorkspace</t>
  </si>
  <si>
    <t>Used for family map/latest location/basic history with permission checks.</t>
  </si>
  <si>
    <t>/api/finance/models</t>
  </si>
  <si>
    <t>CreateFinanceModelDto</t>
  </si>
  <si>
    <t>FinanceModelResponseDto</t>
  </si>
  <si>
    <t>FinanceModel, FinanceJar, FamilyWorkspace</t>
  </si>
  <si>
    <t>Select 5 Jars, 80/20, or Custom model for family finance planning.</t>
  </si>
  <si>
    <t>/api/finance/jars</t>
  </si>
  <si>
    <t>UpsertFinanceJarDto</t>
  </si>
  <si>
    <t>FinanceJarResponseDto</t>
  </si>
  <si>
    <t>FinanceJar, FinanceModel, FamilyWorkspace</t>
  </si>
  <si>
    <t>Configure jar/fund purpose, allocation percentage, threshold, and visibility.</t>
  </si>
  <si>
    <t>/api/finance/ledger-entries/{id}/category</t>
  </si>
  <si>
    <t>CategorizeLedgerEntryDto</t>
  </si>
  <si>
    <t>LedgerEntryResponseDto</t>
  </si>
  <si>
    <t>LedgerEntry, FinanceCategory, FinanceJar</t>
  </si>
  <si>
    <t>Manual classification is core; AI/OCR suggestion is optional.</t>
  </si>
  <si>
    <t>/api/finance/ledger-entries/{id}/essential-type</t>
  </si>
  <si>
    <t>UpdateEssentialTypeDto</t>
  </si>
  <si>
    <t>LedgerEntry, FinanceCategory</t>
  </si>
  <si>
    <t>Supports saving suggestions, budget alerts, and goal-risk analysis.</t>
  </si>
  <si>
    <t>/api/finance/goals</t>
  </si>
  <si>
    <t>CreateFinancialGoalDto</t>
  </si>
  <si>
    <t>FinancialGoalResponseDto</t>
  </si>
  <si>
    <t>FinancialGoal, FinanceJar, FamilyWorkspace</t>
  </si>
  <si>
    <t>Create target amount, deadline, related jar/fund, and monthly contribution target.</t>
  </si>
  <si>
    <t>/api/finance/goals/{id}/allocations</t>
  </si>
  <si>
    <t>CreateGoalAllocationDto</t>
  </si>
  <si>
    <t>GoalAllocationResponseDto</t>
  </si>
  <si>
    <t>GoalAllocation, FinancialGoal, LedgerEntry</t>
  </si>
  <si>
    <t>Allocate an internal money record to a goal; no real money transfer.</t>
  </si>
  <si>
    <t>FinancialGoalQueryDto</t>
  </si>
  <si>
    <t>List&lt;FinancialGoalProgressResponseDto&gt;</t>
  </si>
  <si>
    <t>FinancialGoal, GoalAllocation, LedgerEntry</t>
  </si>
  <si>
    <t>Progress is calculated from internal records, not bank balance.</t>
  </si>
  <si>
    <t>/api/finance/budget-alerts</t>
  </si>
  <si>
    <t>BudgetAlertQueryDto</t>
  </si>
  <si>
    <t>List&lt;BudgetAlertResponseDto&gt;</t>
  </si>
  <si>
    <t>BudgetAlert, BudgetPlan, FinancialGoal, FinanceJar, FinanceCategory</t>
  </si>
  <si>
    <t>Shows over-budget, non-essential spending, and goal-at-risk alerts.</t>
  </si>
  <si>
    <t>/api/rewards/settlements/{id}/allocations</t>
  </si>
  <si>
    <t>CreateRewardAllocationDto</t>
  </si>
  <si>
    <t>RewardAllocationResponseDto</t>
  </si>
  <si>
    <t>RewardAllocation, RewardSettlement, FinanceJar, FinancialGoal, LedgerEntry</t>
  </si>
  <si>
    <t>Reward is allocated after member confirms receipt.</t>
  </si>
  <si>
    <t>/api/ai-assistant/transaction-category-suggestion</t>
  </si>
  <si>
    <t>TransactionCategorySuggestionRequestDto</t>
  </si>
  <si>
    <t>TransactionCategorySuggestionResponseDto</t>
  </si>
  <si>
    <t>AIMessage, LedgerEntry, FinanceCategory, FinanceJar</t>
  </si>
  <si>
    <t>Could-have/Future support; user must confirm final record.</t>
  </si>
  <si>
    <t>x</t>
  </si>
  <si>
    <t>Step No.</t>
  </si>
  <si>
    <t>Step Type</t>
  </si>
  <si>
    <t>Actor / System</t>
  </si>
  <si>
    <t>Action / Event</t>
  </si>
  <si>
    <t>System Response / Validation</t>
  </si>
  <si>
    <t>Final Status / Output</t>
  </si>
  <si>
    <t>Start</t>
  </si>
  <si>
    <t>Open the application and choose Register or Login.</t>
  </si>
  <si>
    <t>The system displays authentication screens.</t>
  </si>
  <si>
    <t>UC09, UC11</t>
  </si>
  <si>
    <t>BR-AUTH-01, BR-AUTH-02</t>
  </si>
  <si>
    <t>User starts the authentication flow.</t>
  </si>
  <si>
    <t>Account setup is handled before workspace setup.</t>
  </si>
  <si>
    <t>User Action</t>
  </si>
  <si>
    <t>Enter registration or login information.</t>
  </si>
  <si>
    <t>The system validates required fields, account uniqueness, and login credentials.</t>
  </si>
  <si>
    <t>BR-AUTH-01, BR-AUTH-02, BR-AUTH-03</t>
  </si>
  <si>
    <t>Account information is submitted for validation.</t>
  </si>
  <si>
    <t>If the account already exists, guide the user to login, forgot password, or resend verification.</t>
  </si>
  <si>
    <t>System Action</t>
  </si>
  <si>
    <t>Create or authenticate the user account and handle verification if required.</t>
  </si>
  <si>
    <t>The system creates/authenticates the account and sets the verified or pending-verification status.</t>
  </si>
  <si>
    <t>UC09, UC10, UC11</t>
  </si>
  <si>
    <t>User account is ready or waiting for verification.</t>
  </si>
  <si>
    <t>Verification may be simulated in demo.</t>
  </si>
  <si>
    <t>Check whether the user already belongs to a Family Workspace.</t>
  </si>
  <si>
    <t>The system searches the user's existing workspace membership.</t>
  </si>
  <si>
    <t>UC11, UC12, UC13</t>
  </si>
  <si>
    <t>BR-AUTH-02, BR-WS-02</t>
  </si>
  <si>
    <t>Workspace membership status is identified.</t>
  </si>
  <si>
    <t>If the user already belongs to a workspace, route directly to the dashboard.</t>
  </si>
  <si>
    <t>If the user has no workspace, show Family Workspace setup options.</t>
  </si>
  <si>
    <t>The system displays two options: create a new Family Workspace or join an existing workspace by invitation link.</t>
  </si>
  <si>
    <t>UC12, UC13</t>
  </si>
  <si>
    <t>BR-WS-01, BR-INV-01</t>
  </si>
  <si>
    <t>Workspace setup options are displayed.</t>
  </si>
  <si>
    <t>Do not send the user to an empty dashboard before workspace setup.</t>
  </si>
  <si>
    <t>Authenticated User</t>
  </si>
  <si>
    <t>Choose Create New Family Workspace or Join by Invitation Link.</t>
  </si>
  <si>
    <t>The system validates submitted workspace information or invitation token.</t>
  </si>
  <si>
    <t>A create-workspace or join-workspace request is submitted.</t>
  </si>
  <si>
    <t>Creator and invited-member paths are shown as separate branches in the swimlane.</t>
  </si>
  <si>
    <t>Create a new Family Workspace or add the invited user to an existing workspace.</t>
  </si>
  <si>
    <t>If creating a workspace, the system creates it and assigns the creator as the only primary Family Manager. If joining by invitation, the system adds the user as a Family Member.</t>
  </si>
  <si>
    <t>BR-WS-01, BR-ROLE-01, BR-INV-01</t>
  </si>
  <si>
    <t>User is linked to a valid Family Workspace.</t>
  </si>
  <si>
    <t>Only the workspace creator becomes the primary Family Manager.</t>
  </si>
  <si>
    <t>Apply the default Free/Basic subscription status to a newly created workspace.</t>
  </si>
  <si>
    <t>The system initializes the default subscription status; renewal or upgrade is handled later after activation.</t>
  </si>
  <si>
    <t>UC12, UC01, UC02</t>
  </si>
  <si>
    <t>Default subscription status is applied.</t>
  </si>
  <si>
    <t>Subscription management is not part of initial onboarding.</t>
  </si>
  <si>
    <t>Activate or validate workspace access according to verification, invitation, and subscription status.</t>
  </si>
  <si>
    <t>The system updates access status and records setup logs if needed.</t>
  </si>
  <si>
    <t>UC12, UC13, UC04</t>
  </si>
  <si>
    <t>Workspace access is ready.</t>
  </si>
  <si>
    <t>Docker/container provisioning can remain local/demo for MVP.</t>
  </si>
  <si>
    <t>End</t>
  </si>
  <si>
    <t>Route the user to the correct Family Dashboard.</t>
  </si>
  <si>
    <t>The system routes the Family Manager to workspace home and invited members to the member dashboard.</t>
  </si>
  <si>
    <t>User has an account and belongs to a valid Family Workspace.</t>
  </si>
  <si>
    <t>Final state: authenticated user can access a workspace-specific dashboard.</t>
  </si>
  <si>
    <t>Open the member management screen.</t>
  </si>
  <si>
    <t>The system checks Family Manager permission.</t>
  </si>
  <si>
    <t>BR-AUTH-02, BR-ROLE-01</t>
  </si>
  <si>
    <t>Member management screen is available if permission is valid.</t>
  </si>
  <si>
    <t>Only the primary Family Manager can manage member access directly.</t>
  </si>
  <si>
    <t>Create an invitation link for a new member.</t>
  </si>
  <si>
    <t>The system generates an invitation code with family context.</t>
  </si>
  <si>
    <t>Invitation link is created.</t>
  </si>
  <si>
    <t>The invited user will not become another Family Manager by default.</t>
  </si>
  <si>
    <t>Open the invitation link and sign in or register.</t>
  </si>
  <si>
    <t>The system validates token status and expiration.</t>
  </si>
  <si>
    <t>Invited user is allowed to continue if the invitation is valid.</t>
  </si>
  <si>
    <t>Invalid or expired invitations must be rejected.</t>
  </si>
  <si>
    <t>Add the invited user to the Family Workspace.</t>
  </si>
  <si>
    <t>The system assigns the default Family Member role.</t>
  </si>
  <si>
    <t>UC13, UC17</t>
  </si>
  <si>
    <t>BR-ROLE-01, BR-ROLE-03</t>
  </si>
  <si>
    <t>New member is added to the workspace.</t>
  </si>
  <si>
    <t>Do not create a second Family Manager.</t>
  </si>
  <si>
    <t>Management Action</t>
  </si>
  <si>
    <t>Update member relationship information such as spouse, child, parent, or grandparent.</t>
  </si>
  <si>
    <t>The system stores relationship information separately from system role.</t>
  </si>
  <si>
    <t>Member has both a role and a relationship profile.</t>
  </si>
  <si>
    <t>Relationship does not automatically grant system permission.</t>
  </si>
  <si>
    <t>Optional Management Action</t>
  </si>
  <si>
    <t>Grant delegated permission to a trusted family member when needed.</t>
  </si>
  <si>
    <t>The system records the delegated permission scope.</t>
  </si>
  <si>
    <t>Selected member receives limited delegated authority.</t>
  </si>
  <si>
    <t>Delegate is not a second Family Manager; it is scoped permission.</t>
  </si>
  <si>
    <t>Revoke delegated permission when needed.</t>
  </si>
  <si>
    <t>The system removes the delegated permission scope.</t>
  </si>
  <si>
    <t>Member returns to normal permission scope.</t>
  </si>
  <si>
    <t>This should be reflected in activity/audit logs if implemented.</t>
  </si>
  <si>
    <t>Remove or deactivate a member.</t>
  </si>
  <si>
    <t>The system checks permission and updates member status.</t>
  </si>
  <si>
    <t>Member is removed or deactivated from the workspace.</t>
  </si>
  <si>
    <t>This is an administrative action, not a mandatory step after invitation.</t>
  </si>
  <si>
    <t>Refresh the member list with role, relationship, permission, and status.</t>
  </si>
  <si>
    <t>The system displays updated member management data.</t>
  </si>
  <si>
    <t>Family structure and permissions are clear.</t>
  </si>
  <si>
    <t>Final state: member administration data is consistent.</t>
  </si>
  <si>
    <t>Family Manager / Deputy / Family Member</t>
  </si>
  <si>
    <t>Open the finance module.</t>
  </si>
  <si>
    <t>The system checks role, workspace context, subscription feature access and delegated permission.</t>
  </si>
  <si>
    <t>UC21, UC22, UC31, UC70</t>
  </si>
  <si>
    <t>BR-AUTH-02, BR-FIN-01, BR-FIN-06, BR-SUB-07</t>
  </si>
  <si>
    <t>Finance dashboard is displayed according to access rights.</t>
  </si>
  <si>
    <t>Finance is the core value. Family Fund Ledger is internal record only, not a real e-wallet.</t>
  </si>
  <si>
    <t>Select the family finance model such as 5 Jars, 80/20 or Custom.</t>
  </si>
  <si>
    <t>The system applies the selected model as the basis for budget allocation, jars/funds and alerts.</t>
  </si>
  <si>
    <t>Finance model is selected.</t>
  </si>
  <si>
    <t>Added from 02/06 mentor note; this is an added layer, not a replacement for existing finance records.</t>
  </si>
  <si>
    <t>Configure finance jars/funds and allocation rules.</t>
  </si>
  <si>
    <t>The system stores jar/fund name, purpose, threshold/allocation percentage and visibility/permission rules.</t>
  </si>
  <si>
    <t>Finance jars/funds are configured.</t>
  </si>
  <si>
    <t>Examples: essential spending, non-essential spending, saving goal fund, education, emergency/reserve.</t>
  </si>
  <si>
    <t>Set or update personal income and expected/actual personal expenses.</t>
  </si>
  <si>
    <t>The system stores member-owned personal finance data and applies privacy rules.</t>
  </si>
  <si>
    <t>UC22, UC27</t>
  </si>
  <si>
    <t>Personal finance data is saved by the owning member.</t>
  </si>
  <si>
    <t>Family Manager should not directly edit another member's private finance data by default.</t>
  </si>
  <si>
    <t>Define shared family income/fund planning values, shared expense categories and planned shared expenses.</t>
  </si>
  <si>
    <t>The system stores shared budget inputs and validates required categories/amounts.</t>
  </si>
  <si>
    <t>UC23, UC24, UC25</t>
  </si>
  <si>
    <t>Shared family budget plan is created.</t>
  </si>
  <si>
    <t>Examples: rent, utilities, food, tuition, transport, medical, saving.</t>
  </si>
  <si>
    <t>User/System Action</t>
  </si>
  <si>
    <t>Family Manager / Family Member / System</t>
  </si>
  <si>
    <t>Categorize income/expense and mark expense as Essential or Non-essential.</t>
  </si>
  <si>
    <t>The system stores category, jar/fund, and essential/non-essential type; AI/OCR can optionally suggest classification for user confirmation.</t>
  </si>
  <si>
    <t>UC84, UC85, UC91</t>
  </si>
  <si>
    <t>BR-FIN-CAT-01, BR-FIN-CAT-02, BR-AI-FIN-01</t>
  </si>
  <si>
    <t>Finance records are classified.</t>
  </si>
  <si>
    <t>Calculate planned family budget from allowed personal data and shared budget inputs.</t>
  </si>
  <si>
    <t>The system applies role/privacy rules and shows aggregated data by default when details are sensitive.</t>
  </si>
  <si>
    <t>UC21, UC26</t>
  </si>
  <si>
    <t>Planned family budget is available.</t>
  </si>
  <si>
    <t>This replaces a wallet-first mindset with finance planning and tracking.</t>
  </si>
  <si>
    <t>Create a family financial goal such as buying a motorbike or saving for tuition.</t>
  </si>
  <si>
    <t>The system stores target amount, deadline, related saving fund and monthly contribution target.</t>
  </si>
  <si>
    <t>Financial goal is created.</t>
  </si>
  <si>
    <t>Example from mentor note: target 30M VND by year-end.</t>
  </si>
  <si>
    <t>Record a family fund contribution in the internal ledger.</t>
  </si>
  <si>
    <t>The system creates a ledger entry with type, amount, actor, timestamp and note.</t>
  </si>
  <si>
    <t>UC31, UC32</t>
  </si>
  <si>
    <t>BR-FIN-04, BR-FIN-07, BR-FIN-08</t>
  </si>
  <si>
    <t>Family fund ledger increases for planning/tracking purposes.</t>
  </si>
  <si>
    <t>This is not top-up of a real wallet. Payment gateway is not used here.</t>
  </si>
  <si>
    <t>Allocate income/contribution/allowance records to a goal fund if applicable.</t>
  </si>
  <si>
    <t>The system updates internal goal progress based on allocated records.</t>
  </si>
  <si>
    <t>UC87, UC88</t>
  </si>
  <si>
    <t>Goal progress is updated.</t>
  </si>
  <si>
    <t>Goal progress is based on internal records, not actual bank balance.</t>
  </si>
  <si>
    <t>Record actual personal or shared family expense.</t>
  </si>
  <si>
    <t>The system stores actual expense and links shared expense to the family fund ledger, category, jar/fund and essential/non-essential type if applicable.</t>
  </si>
  <si>
    <t>UC27, UC28, UC84, UC85</t>
  </si>
  <si>
    <t>BR-FIN-04, BR-FIN-05, BR-FIN-06, BR-FIN-CAT-01, BR-FIN-CAT-02</t>
  </si>
  <si>
    <t>Actual finance data is recorded and classified.</t>
  </si>
  <si>
    <t>Examples: electricity, groceries, tuition, allowance spending, medical expense, entertainment.</t>
  </si>
  <si>
    <t>Generate planned-vs-actual comparison, budget alerts and goal-risk alerts.</t>
  </si>
  <si>
    <t>The system compares planned budget, actual records, jar thresholds and financial goal progress.</t>
  </si>
  <si>
    <t>UC29, UC30, UC89</t>
  </si>
  <si>
    <t>BR-FIN-05, BR-FIN-06, BR-FIN-ALERT-01</t>
  </si>
  <si>
    <t>Finance report and budget/goal risk alerts are available.</t>
  </si>
  <si>
    <t>Alert example: non-essential spending exceeded threshold; goal may be delayed.</t>
  </si>
  <si>
    <t>Cross-flow Action</t>
  </si>
  <si>
    <t>After task reward receipt is confirmed, allocate the reward record to a finance jar or goal fund.</t>
  </si>
  <si>
    <t>The system updates jar/goal record and links reward settlement to finance tracking.</t>
  </si>
  <si>
    <t>BR-REW-04, BR-REW-JAR-01</t>
  </si>
  <si>
    <t>Task reward is allocated to jar/goal.</t>
  </si>
  <si>
    <t>This implements mentor note: reward from task must know which jar it falls into.</t>
  </si>
  <si>
    <t>Synchronize finance dashboard, family fund ledger, jars/funds, goal progress, reports and history.</t>
  </si>
  <si>
    <t>The system keeps personal finance, shared finance, internal ledger, categories and goal records separated according to permission.</t>
  </si>
  <si>
    <t>UC29, UC30, UC36, UC88, UC89</t>
  </si>
  <si>
    <t>BR-FIN-04, BR-FIN-06, BR-FIN-07, BR-FIN-GOAL-01</t>
  </si>
  <si>
    <t>Family finance is transparent while personal privacy and legal boundaries are protected.</t>
  </si>
  <si>
    <t>Final state: finance planning/tracking is clear and the system does not act as a real wallet.</t>
  </si>
  <si>
    <t>Family Finance Planning and Fund Ledger Management</t>
  </si>
  <si>
    <t>The system stores actual expense and links shared expense to the family fund ledger if applicable.</t>
  </si>
  <si>
    <t>UC27, UC28</t>
  </si>
  <si>
    <t>BR-FIN-04, BR-FIN-05, BR-FIN-06, BR-FIN-07</t>
  </si>
  <si>
    <t>Actual finance data is recorded.</t>
  </si>
  <si>
    <t>Examples: electricity, groceries, tuition, allowance spending, medical expense.</t>
  </si>
  <si>
    <t>Submit a spending support request when needing family support or allowance approval.</t>
  </si>
  <si>
    <t>The system creates a request with Pending status and notifies Family Manager/Deputy.</t>
  </si>
  <si>
    <t>UC34, UC60</t>
  </si>
  <si>
    <t>BR-FIN-02, BR-FIN-07, BR-COM-01</t>
  </si>
  <si>
    <t>Spending support request waits for approval.</t>
  </si>
  <si>
    <t>Member cannot withdraw directly from the family fund. This is approval workflow only.</t>
  </si>
  <si>
    <t>Approve or reject the pending spending support request.</t>
  </si>
  <si>
    <t>The system validates permission, request status and related ledger policy.</t>
  </si>
  <si>
    <t>Request is approved or rejected.</t>
  </si>
  <si>
    <t>Approval creates internal ledger/allowance record only; no real transfer or withdrawal.</t>
  </si>
  <si>
    <t>Generate planned-vs-actual comparison and budget alert status.</t>
  </si>
  <si>
    <t>The system compares planned budget with actual records and identifies over-budget or shortage risks.</t>
  </si>
  <si>
    <t>UC29, UC30</t>
  </si>
  <si>
    <t>BR-FIN-05, BR-FIN-06, BR-SUB-03</t>
  </si>
  <si>
    <t>Finance report and budget alerts are available.</t>
  </si>
  <si>
    <t>Budget alert is Must-have after Review 1 because it makes Finance deeper.</t>
  </si>
  <si>
    <t>Optional Supporting Action</t>
  </si>
  <si>
    <t>Provide finance summary or budget/saving suggestion based on allowed finance data.</t>
  </si>
  <si>
    <t>AI checks permission and returns advisory insight without changing data.</t>
  </si>
  <si>
    <t>UC66, UC68</t>
  </si>
  <si>
    <t>BR-AI-01, BR-AI-03, BR-AI-05</t>
  </si>
  <si>
    <t>AI finance insight is displayed if feature is enabled.</t>
  </si>
  <si>
    <t>AI is supporting/advisory only. User must take actions manually.</t>
  </si>
  <si>
    <t>Synchronize finance dashboard, family fund ledger, reports and history.</t>
  </si>
  <si>
    <t>The system keeps personal finance, shared finance and internal ledger records separated.</t>
  </si>
  <si>
    <t>UC29, UC30, UC36</t>
  </si>
  <si>
    <t>Open the task management module and create an ad-hoc or mandatory recurring task.</t>
  </si>
  <si>
    <t>The system validates task type, schedule/deadline, reward setting and assignee.</t>
  </si>
  <si>
    <t>Task is created if validation passes.</t>
  </si>
  <si>
    <t>Reward can be configured, but reward is not created until task completion is approved.</t>
  </si>
  <si>
    <t>Assign or reassign the task to a family member.</t>
  </si>
  <si>
    <t>The system checks whether the assignee belongs to the same Family Workspace.</t>
  </si>
  <si>
    <t>BR-TASK-02, BR-AUTH-02</t>
  </si>
  <si>
    <t>Task is assigned.</t>
  </si>
  <si>
    <t>Notification can be sent after assignment.</t>
  </si>
  <si>
    <t>Notify the assigned member about the task.</t>
  </si>
  <si>
    <t>The system creates a task notification within the family workspace.</t>
  </si>
  <si>
    <t>Assigned member receives the task notification.</t>
  </si>
  <si>
    <t>Task notification supports the workflow.</t>
  </si>
  <si>
    <t>Optional User Action</t>
  </si>
  <si>
    <t>Report unavailability for a mandatory recurring task.</t>
  </si>
  <si>
    <t>The system requires a reason and notifies the Family Manager or Deputy.</t>
  </si>
  <si>
    <t>Unavailability is recorded.</t>
  </si>
  <si>
    <t>This is an alternative branch, not required for every task.</t>
  </si>
  <si>
    <t>Take over, reassign, or handle the recurring task when unavailability is reported.</t>
  </si>
  <si>
    <t>The system updates task status or assignment.</t>
  </si>
  <si>
    <t>Task is reassigned, taken over, or otherwise handled.</t>
  </si>
  <si>
    <t>Mandatory recurring tasks should not be silently skipped.</t>
  </si>
  <si>
    <t>Submit task completion with proof.</t>
  </si>
  <si>
    <t>The system checks whether the submitter is the assigned member and stores proof if provided.</t>
  </si>
  <si>
    <t>Completion submission is waiting for review.</t>
  </si>
  <si>
    <t>Proof may include note, image or video if supported.</t>
  </si>
  <si>
    <t>Review completion proof and approve or reject task completion.</t>
  </si>
  <si>
    <t>The system updates task completion status. If rejected, reward settlement is not created.</t>
  </si>
  <si>
    <t>Task completion is approved or rejected.</t>
  </si>
  <si>
    <t>Task approval does not mean member has already received real reward.</t>
  </si>
  <si>
    <t>If approved and the task has reward, create a reward settlement record.</t>
  </si>
  <si>
    <t>The system creates reward settlement with Pending Settlement status and sends notification.</t>
  </si>
  <si>
    <t>UC45, UC60</t>
  </si>
  <si>
    <t>BR-TASK-04, BR-REW-01, BR-REW-06</t>
  </si>
  <si>
    <t>Reward Pending Settlement is created.</t>
  </si>
  <si>
    <t>Notification wording: Task approved. Reward is pending external settlement.</t>
  </si>
  <si>
    <t>External / User Action</t>
  </si>
  <si>
    <t>Settle the reward outside the system using cash, bank transfer, third-party wallet, or other family-managed method.</t>
  </si>
  <si>
    <t>The system does not process this real payment; it only waits for settlement record update.</t>
  </si>
  <si>
    <t>Real reward is handled outside the app.</t>
  </si>
  <si>
    <t>This keeps the system away from e-wallet/legal payment handling.</t>
  </si>
  <si>
    <t>Mark reward as settled externally and optionally attach method/note/proof.</t>
  </si>
  <si>
    <t>The system changes reward status to Waiting Member Confirmation and notifies assigned member.</t>
  </si>
  <si>
    <t>UC46, UC60</t>
  </si>
  <si>
    <t>BR-REW-02, BR-REW-03, BR-REW-06</t>
  </si>
  <si>
    <t>Reward is marked as externally settled.</t>
  </si>
  <si>
    <t>This does not mean the member has confirmed receipt yet.</t>
  </si>
  <si>
    <t>Confirm reward received after receiving the external reward.</t>
  </si>
  <si>
    <t>The system changes reward status to Settled and stores confirmation timestamp.</t>
  </si>
  <si>
    <t>Reward is fully settled.</t>
  </si>
  <si>
    <t>This solves the need to confirm that the member actually received money/reward.</t>
  </si>
  <si>
    <t>Alternative User Action</t>
  </si>
  <si>
    <t>Report reward not received or open dispute if the settlement record is incorrect.</t>
  </si>
  <si>
    <t>The system changes reward status to Disputed and notifies Family Manager/Deputy for review.</t>
  </si>
  <si>
    <t>UC48, UC60</t>
  </si>
  <si>
    <t>BR-REW-05, BR-REW-06</t>
  </si>
  <si>
    <t>Reward settlement dispute is created.</t>
  </si>
  <si>
    <t>This handles mismatch between manager's settlement record and member receipt.</t>
  </si>
  <si>
    <t>Display updated task status, reward settlement status and settlement history.</t>
  </si>
  <si>
    <t>The system stores task activity, reward settlement, confirmation and dispute history.</t>
  </si>
  <si>
    <t>BR-TASK-04, BR-REW-01, BR-REW-04, BR-REW-05</t>
  </si>
  <si>
    <t>Task and reward settlement history is traceable.</t>
  </si>
  <si>
    <t>Final state: task completion and reward receipt are separated and auditable.</t>
  </si>
  <si>
    <t>Trigger SOS from the mobile app or paired wearable/safety device.</t>
  </si>
  <si>
    <t>The system validates user workspace, SOS permission and device pairing if the trigger comes from wearable.</t>
  </si>
  <si>
    <t>UC50, UC56, UC57</t>
  </si>
  <si>
    <t>BR-SOS-01, BR-SOS-05, BR-SOS-06</t>
  </si>
  <si>
    <t>SOS activation request is created.</t>
  </si>
  <si>
    <t>Wearable can be simulated for demo if real device integration is unstable.</t>
  </si>
  <si>
    <t>Alternative System Trigger</t>
  </si>
  <si>
    <t>Wearable / System</t>
  </si>
  <si>
    <t>Detect fall-like impact or abnormal movement from wearable/simulated sensor data.</t>
  </si>
  <si>
    <t>The system creates a safety warning or SOS alert depending on configured SOS settings.</t>
  </si>
  <si>
    <t>Fall/abnormal movement alert is created.</t>
  </si>
  <si>
    <t>This can be simulated with test sensor data or manual dev trigger.</t>
  </si>
  <si>
    <t>Create an SOS alert with Active status.</t>
  </si>
  <si>
    <t>The system stores triggering member/device, time, source, status and initial location if available.</t>
  </si>
  <si>
    <t>UC50, UC57, UC58</t>
  </si>
  <si>
    <t>BR-SOS-01, BR-SOS-04, BR-SOS-05</t>
  </si>
  <si>
    <t>An active SOS alert exists.</t>
  </si>
  <si>
    <t>Source can be mobile, wearable, or simulated device.</t>
  </si>
  <si>
    <t>Send high-priority SOS notification to family members.</t>
  </si>
  <si>
    <t>The system prioritizes SOS over normal notifications and shows source/location context when available.</t>
  </si>
  <si>
    <t>UC51, UC60</t>
  </si>
  <si>
    <t>BR-SOS-02, BR-COM-01</t>
  </si>
  <si>
    <t>Family receives emergency signal.</t>
  </si>
  <si>
    <t>This is the key demo moment for safety flow.</t>
  </si>
  <si>
    <t>Open SOS alert details and view emergency context.</t>
  </si>
  <si>
    <t>The system shows triggering member/device, time, status, latest/basic location and available response actions.</t>
  </si>
  <si>
    <t>UC51, UC54, UC59</t>
  </si>
  <si>
    <t>Family understands the emergency context.</t>
  </si>
  <si>
    <t>Do not integrate real rescue service in MVP.</t>
  </si>
  <si>
    <t>Track basic/live location only while SOS is active and permission/location data is available.</t>
  </si>
  <si>
    <t>The system records route/location history according to availability and permission.</t>
  </si>
  <si>
    <t>SOS location/route history is recorded.</t>
  </si>
  <si>
    <t>Basic active-SOS tracking is current scope; advanced continuous GPS is future.</t>
  </si>
  <si>
    <t>Confirm safety when safe or when the situation has been handled.</t>
  </si>
  <si>
    <t>The system records confirmation, responder and timestamp.</t>
  </si>
  <si>
    <t>Safety confirmation is available.</t>
  </si>
  <si>
    <t>Confirmation can come from the activator or a responding family member depending on rule.</t>
  </si>
  <si>
    <t>Resolve or cancel the SOS alert with safety confirmation or clear handling reason.</t>
  </si>
  <si>
    <t>The system validates permission and required reason/confirmation before closing SOS.</t>
  </si>
  <si>
    <t>SOS alert is resolved or cancelled.</t>
  </si>
  <si>
    <t>Delegated permission can cover emergency handling.</t>
  </si>
  <si>
    <t>Store SOS history and show final alert status.</t>
  </si>
  <si>
    <t>The system closes the active alert display and keeps history traceable.</t>
  </si>
  <si>
    <t>UC53, UC54</t>
  </si>
  <si>
    <t>BR-SOS-03, BR-SOS-04</t>
  </si>
  <si>
    <t>SOS event can be reviewed after resolution.</t>
  </si>
  <si>
    <t>Final state: family safety response is completed and traceable.</t>
  </si>
  <si>
    <t>Open location privacy or location sharing settings.</t>
  </si>
  <si>
    <t>The system displays current location sharing status and explains normal tracking behavior.</t>
  </si>
  <si>
    <t>Location sharing setting is shown.</t>
  </si>
  <si>
    <t>This flow is for routine family tracking, not SOS.</t>
  </si>
  <si>
    <t>Enable or disable normal location sharing.</t>
  </si>
  <si>
    <t>The system validates member status and saves the sharing preference.</t>
  </si>
  <si>
    <t>Sharing preference is updated.</t>
  </si>
  <si>
    <t>Location tracking should respect member privacy and permission.</t>
  </si>
  <si>
    <t>System / Device Action</t>
  </si>
  <si>
    <t>Mobile App / Wearable Device</t>
  </si>
  <si>
    <t>Send the member's current GPS location when sharing is enabled and app/device permission is available.</t>
  </si>
  <si>
    <t>The system validates workspace, member, source type, latitude, longitude, accuracy and timestamp.</t>
  </si>
  <si>
    <t>BR-LOC-01, BR-LOC-04</t>
  </si>
  <si>
    <t>Location point request is accepted or rejected.</t>
  </si>
  <si>
    <t>Invalid coordinates or disabled permission should be rejected.</t>
  </si>
  <si>
    <t>Store the normal location point as MemberLocationPoint.</t>
  </si>
  <si>
    <t>The system records member, workspace, optional device, latitude, longitude, accuracy, source type and recorded time.</t>
  </si>
  <si>
    <t>BR-LOC-02, BR-LOC-04</t>
  </si>
  <si>
    <t>MemberLocationPoint is created.</t>
  </si>
  <si>
    <t>Do not mix this with SOSLocationPoint unless there is an active SOS event.</t>
  </si>
  <si>
    <t>Open family map or member location tracking screen.</t>
  </si>
  <si>
    <t>The system checks same-workspace access, role/permission and target member's location sharing status.</t>
  </si>
  <si>
    <t>Authorized location query is prepared.</t>
  </si>
  <si>
    <t>If sharing is disabled or permission is missing, location is hidden.</t>
  </si>
  <si>
    <t>Display latest shared location or basic location history.</t>
  </si>
  <si>
    <t>The system returns available MemberLocationPoint records or a no-data/no-permission message.</t>
  </si>
  <si>
    <t>BR-LOC-02, BR-LOC-03</t>
  </si>
  <si>
    <t>Family location tracking is displayed according to permission.</t>
  </si>
  <si>
    <t>Final state: normal family tracking is available and remains separate from SOS active route tracking.</t>
  </si>
  <si>
    <t>Open communication, calendar, or album area.</t>
  </si>
  <si>
    <t>The system checks user belongs to the Family Workspace and feature access is allowed.</t>
  </si>
  <si>
    <t>UC60, UC61, UC70, UC72</t>
  </si>
  <si>
    <t>BR-COM-01, BR-COM-02, BR-AUTH-02</t>
  </si>
  <si>
    <t>Supporting coordination area is displayed.</t>
  </si>
  <si>
    <t>Supporting flow only; do not overbuild chat/album before core finance and SOS.</t>
  </si>
  <si>
    <t>Send or receive family notification/chat message.</t>
  </si>
  <si>
    <t>The system stores message/notification within the same Family Workspace and prevents cross-family access.</t>
  </si>
  <si>
    <t>UC60, UC61, UC62</t>
  </si>
  <si>
    <t>BR-COM-01, BR-COM-02</t>
  </si>
  <si>
    <t>Message or notification is delivered.</t>
  </si>
  <si>
    <t>Text-first chat is enough for MVP; private chat can remain Could-have.</t>
  </si>
  <si>
    <t>Send family announcement or create shared family calendar event.</t>
  </si>
  <si>
    <t>The system notifies related family members and displays event/announcement in shared context.</t>
  </si>
  <si>
    <t>UC63, UC70, UC71</t>
  </si>
  <si>
    <t>BR-COM-03, BR-CAL-01</t>
  </si>
  <si>
    <t>Announcement/calendar item is available.</t>
  </si>
  <si>
    <t>Calendar and announcement support family coordination.</t>
  </si>
  <si>
    <t>Upload and view shared family album media.</t>
  </si>
  <si>
    <t>The system stores media in the shared album and shows it only to allowed family members.</t>
  </si>
  <si>
    <t>UC72, UC73</t>
  </si>
  <si>
    <t>BR-ALB-01, BR-AUTH-02</t>
  </si>
  <si>
    <t>Shared album media is available.</t>
  </si>
  <si>
    <t>Manually tag family members in album media.</t>
  </si>
  <si>
    <t>The system saves tag after permission check and updates album grouping/display.</t>
  </si>
  <si>
    <t>Manual album tagging is saved.</t>
  </si>
  <si>
    <t>Future / Demo Action</t>
  </si>
  <si>
    <t>System / AI</t>
  </si>
  <si>
    <t>Suggest face-based album grouping if implemented for demo.</t>
  </si>
  <si>
    <t>The system suggests grouping only; user confirmation is required before tagging or organizing.</t>
  </si>
  <si>
    <t>Face-based grouping suggestion is shown if available.</t>
  </si>
  <si>
    <t>Face clustering is future enhancement or demo-only.</t>
  </si>
  <si>
    <t>Keep communication/calendar/album data inside family workspace context.</t>
  </si>
  <si>
    <t>The system prevents cross-family data leakage and displays updated supporting data.</t>
  </si>
  <si>
    <t>UC60-UC64, UC70-UC75</t>
  </si>
  <si>
    <t>BR-COM-01, BR-COM-02, BR-ALB-02</t>
  </si>
  <si>
    <t>Supporting family coordination data is consistent.</t>
  </si>
  <si>
    <t>Final state: supporting features are clear but not over-scoped.</t>
  </si>
  <si>
    <t>Family Member / Family Manager</t>
  </si>
  <si>
    <t>Open AI Assistant and ask about finance, task, reminder, budget or saving suggestion.</t>
  </si>
  <si>
    <t>The system checks login status, workspace context, subscription feature access and AI availability.</t>
  </si>
  <si>
    <t>UC65, UC76</t>
  </si>
  <si>
    <t>BR-AI-01, BR-SUB-07</t>
  </si>
  <si>
    <t>AI request is accepted or rejected based on access.</t>
  </si>
  <si>
    <t>AI is supporting flow, not a replacement for core finance/task/SOS decisions.</t>
  </si>
  <si>
    <t>Identify intent: finance summary, task summary, reminder, budget alert, saving suggestion or general family activity.</t>
  </si>
  <si>
    <t>The system selects allowed data source according to detected intent.</t>
  </si>
  <si>
    <t>AI request is categorized.</t>
  </si>
  <si>
    <t>Intent detection can be simple rule-based in MVP.</t>
  </si>
  <si>
    <t>Check role, delegated permission, privacy rules and plan feature access before retrieving data.</t>
  </si>
  <si>
    <t>The system blocks unauthorized sensitive finance/task data and retrieves only allowed data.</t>
  </si>
  <si>
    <t>UC66, UC67, UC68</t>
  </si>
  <si>
    <t>BR-AI-01, BR-AI-03, BR-AUTH-02, BR-SUB-07</t>
  </si>
  <si>
    <t>Allowed data is prepared for AI.</t>
  </si>
  <si>
    <t>This is the most important AI permission rule.</t>
  </si>
  <si>
    <t>Generate finance summary, task summary, reminder, budget/saving suggestion or basic insight from allowed data.</t>
  </si>
  <si>
    <t>AI returns an informational answer without changing budget, ledger, task, reward or SOS data.</t>
  </si>
  <si>
    <t>UC65, UC66, UC67, UC68</t>
  </si>
  <si>
    <t>BR-AI-02, BR-AI-05</t>
  </si>
  <si>
    <t>AI answer is generated.</t>
  </si>
  <si>
    <t>No autonomous decision-making in MVP.</t>
  </si>
  <si>
    <t>View AI answer and decide whether to take action manually in the related module.</t>
  </si>
  <si>
    <t>The system does not perform any real action unless user explicitly uses the normal finance/task/SOS function.</t>
  </si>
  <si>
    <t>User receives advisory support but keeps decision control.</t>
  </si>
  <si>
    <t>Actions remain in existing core flows.</t>
  </si>
  <si>
    <t>Optional System Action</t>
  </si>
  <si>
    <t>Optionally store AI conversation metadata/history according to privacy and implementation scope.</t>
  </si>
  <si>
    <t>The system stores only allowed metadata/content and does not expose cross-family information.</t>
  </si>
  <si>
    <t>AI interaction history is stored if implemented.</t>
  </si>
  <si>
    <t>Conversation history can be Could-have if time permits.</t>
  </si>
  <si>
    <t>Return user to AI screen or related finance/task module.</t>
  </si>
  <si>
    <t>The system keeps AI advisory flow separated from real operations.</t>
  </si>
  <si>
    <t>AI-assisted insight is completed.</t>
  </si>
  <si>
    <t>Final state: AI helps explain/suggest but does not act automatically.</t>
  </si>
  <si>
    <t>Open current subscription and feature access screen.</t>
  </si>
  <si>
    <t>The system retrieves current plan, status, expiration date and available/locked features.</t>
  </si>
  <si>
    <t>BR-SUB-01, BR-SUB-07</t>
  </si>
  <si>
    <t>Current subscription status is displayed.</t>
  </si>
  <si>
    <t>Feature access is more important than member count.</t>
  </si>
  <si>
    <t>Show Free, Plus and Premium plan comparison.</t>
  </si>
  <si>
    <t>The system displays differences in finance reports, AI insight, SOS safety features, wearable support, album/storage and export capability.</t>
  </si>
  <si>
    <t>UC01, UC76</t>
  </si>
  <si>
    <t>BR-SUB-02, BR-SUB-03, BR-SUB-04, BR-SUB-07</t>
  </si>
  <si>
    <t>Plan matrix is available.</t>
  </si>
  <si>
    <t>Plans are sold by capability: Free = Basic, Plus = Management, Premium = AI + Safety.</t>
  </si>
  <si>
    <t>Choose to upgrade from Free to Plus/Premium or renew current plan.</t>
  </si>
  <si>
    <t>The system validates Family Manager permission and selected plan.</t>
  </si>
  <si>
    <t>BR-SUB-06, BR-SUB-07</t>
  </si>
  <si>
    <t>Upgrade/renewal request is created.</t>
  </si>
  <si>
    <t>Only Family Manager should manage subscription payment in current scope.</t>
  </si>
  <si>
    <t>System / External Action</t>
  </si>
  <si>
    <t>System / Payment Gateway</t>
  </si>
  <si>
    <t>Process subscription payment or simulate payment for demo.</t>
  </si>
  <si>
    <t>The system uses payment only for subscription and never for Family Fund Ledger, allowance or reward.</t>
  </si>
  <si>
    <t>BR-FIN-08, BR-SUB-06</t>
  </si>
  <si>
    <t>Subscription payment succeeds/fails or demo payment is simulated.</t>
  </si>
  <si>
    <t>This clarifies legal boundary between subscription payment and family finance records.</t>
  </si>
  <si>
    <t>Update subscription status and unlock/lock features according to selected plan.</t>
  </si>
  <si>
    <t>The system updates feature access for finance report depth, AI quota, wearable safety, album/storage and export.</t>
  </si>
  <si>
    <t>Plan feature access is updated.</t>
  </si>
  <si>
    <t>Alternative / System Action</t>
  </si>
  <si>
    <t>Handle expired subscription.</t>
  </si>
  <si>
    <t>The system locks advanced features but keeps existing family data viewable according to permission.</t>
  </si>
  <si>
    <t>Workspace enters limited access mode.</t>
  </si>
  <si>
    <t>Do not delete or hide existing data after expiry.</t>
  </si>
  <si>
    <t>Display updated plan, status and available/locked features.</t>
  </si>
  <si>
    <t>The system keeps plan status consistent with feature access across modules.</t>
  </si>
  <si>
    <t>BR-SUB-01, BR-SUB-05, BR-SUB-07</t>
  </si>
  <si>
    <t>Subscription management flow is completed.</t>
  </si>
  <si>
    <t>Final state: subscription is clear and separated from Family Fund Ledger.</t>
  </si>
  <si>
    <t>The system retrieves current plan, annual billing status, yearly price, start date, expiration date, remaining days and available/locked features.</t>
  </si>
  <si>
    <t>BR-SUB-01, BR-SUB-07, BR-SUB-08</t>
  </si>
  <si>
    <t>Current annual subscription status is displayed.</t>
  </si>
  <si>
    <t>Show Free, Plus Annual and Premium Annual plan comparison.</t>
  </si>
  <si>
    <t>The system displays yearly price and differences in finance reports, AI insight, SOS safety features, wearable support, album/storage and export capability.</t>
  </si>
  <si>
    <t>BR-SUB-02, BR-SUB-03, BR-SUB-04, BR-SUB-08</t>
  </si>
  <si>
    <t>Annual plan matrix is available.</t>
  </si>
  <si>
    <t>Plans are sold by capability: Free = Basic, Plus Annual = Family Management, Premium Annual = AI + Safety.</t>
  </si>
  <si>
    <t>Choose annual upgrade or renewal.</t>
  </si>
  <si>
    <t>The system validates Family Manager permission and selected plan. If current plan is Plus and target plan is Premium, the system prepares a prorated upgrade preview.</t>
  </si>
  <si>
    <t>BR-SUB-06, BR-SUB-08, BR-SUB-09</t>
  </si>
  <si>
    <t>Upgrade/renewal request or preview is created.</t>
  </si>
  <si>
    <t>For Plus-to-Premium upgrade, payment amount is the prorated annual price difference based on remaining days. Payment is never used for Family Fund Ledger, allowance or reward.</t>
  </si>
  <si>
    <t>BR-FIN-08, BR-SUB-06, BR-SUB-09</t>
  </si>
  <si>
    <t>After successful Plus-to-Premium upgrade payment, Premium features are activated immediately while the current expiration date remains unchanged.</t>
  </si>
  <si>
    <t>BR-SUB-02, BR-SUB-03, BR-SUB-04, BR-SUB-07, BR-SUB-10</t>
  </si>
  <si>
    <t>Handle expired annual subscription.</t>
  </si>
  <si>
    <t>BR-SUB-05, BR-SUB-08</t>
  </si>
  <si>
    <t>Display updated plan, status, remaining days and available/locked features.</t>
  </si>
  <si>
    <t>The system keeps annual subscription status consistent with feature access across modules.</t>
  </si>
  <si>
    <t>BR-SUB-01, BR-SUB-05, BR-SUB-07, BR-SUB-10</t>
  </si>
  <si>
    <t>Final state: annual subscription is clear and separated from Family Fund Ledger.</t>
  </si>
  <si>
    <t>English</t>
  </si>
  <si>
    <t>Vietnamese</t>
  </si>
  <si>
    <t>Bắt buộc</t>
  </si>
  <si>
    <t>Nên có</t>
  </si>
  <si>
    <t>Có thể có</t>
  </si>
  <si>
    <t>Chưa bắt đầu</t>
  </si>
  <si>
    <t>Giữ trong scope</t>
  </si>
  <si>
    <t>Có thể có / Làm sau core</t>
  </si>
  <si>
    <t>Luồng chính</t>
  </si>
  <si>
    <t>Luồng hỗ trợ</t>
  </si>
  <si>
    <t>Có</t>
  </si>
  <si>
    <t>Không</t>
  </si>
  <si>
    <t>Không áp dụng</t>
  </si>
  <si>
    <t>Chưa xác định</t>
  </si>
  <si>
    <t>Bắt đầu</t>
  </si>
  <si>
    <t>Kết thúc</t>
  </si>
  <si>
    <t>Hành động người dùng</t>
  </si>
  <si>
    <t>Hành động hệ thống</t>
  </si>
  <si>
    <t>Hành động tùy chọn của người dùng</t>
  </si>
  <si>
    <t>Hành động tùy chọn của hệ thống</t>
  </si>
  <si>
    <t>Web Admin</t>
  </si>
  <si>
    <t>Mobile Flutter</t>
  </si>
  <si>
    <t>Vai trò</t>
  </si>
  <si>
    <t>Mối quan hệ</t>
  </si>
  <si>
    <t>Lời mời</t>
  </si>
  <si>
    <t>Gói dịch vụ</t>
  </si>
  <si>
    <t>Tài chính</t>
  </si>
  <si>
    <t>Công việc</t>
  </si>
  <si>
    <t>Reward</t>
  </si>
  <si>
    <t>Phần thưởng</t>
  </si>
  <si>
    <t>Giao tiếp</t>
  </si>
  <si>
    <t>Xác thực</t>
  </si>
  <si>
    <t>Phân quyền</t>
  </si>
  <si>
    <t>Không gian gia đình</t>
  </si>
  <si>
    <t>Triển khai</t>
  </si>
  <si>
    <t>Quản trị viên</t>
  </si>
  <si>
    <t>Gia đình</t>
  </si>
  <si>
    <t>Wallet</t>
  </si>
  <si>
    <t>Ví</t>
  </si>
  <si>
    <t>Quyền hạn</t>
  </si>
  <si>
    <t>Docker demo</t>
  </si>
  <si>
    <t>Tất cả người dùng</t>
  </si>
  <si>
    <t>Tất cả thành viên gia đình</t>
  </si>
  <si>
    <t>Family Manager / Trưởng nhóm gia đình</t>
  </si>
  <si>
    <t>Thành viên gia đình</t>
  </si>
  <si>
    <t>Người được mời</t>
  </si>
  <si>
    <t>Người đại diện gia đình</t>
  </si>
  <si>
    <t>Hệ thống</t>
  </si>
  <si>
    <t>Family Care - Subscription Plan Matrix (Annual Billing Only)</t>
  </si>
  <si>
    <t>Feature / Capability</t>
  </si>
  <si>
    <t>Free</t>
  </si>
  <si>
    <t>Plus Annual</t>
  </si>
  <si>
    <t>Premium Annual</t>
  </si>
  <si>
    <t>Related UC / Rule</t>
  </si>
  <si>
    <t>Price</t>
  </si>
  <si>
    <t>0đ</t>
  </si>
  <si>
    <t>990.000đ/year</t>
  </si>
  <si>
    <t>1.990.000đ/year</t>
  </si>
  <si>
    <t>Example pricing; can be adjusted by Admin.</t>
  </si>
  <si>
    <t>Billing cycle</t>
  </si>
  <si>
    <t>No paid cycle</t>
  </si>
  <si>
    <t>Annual only</t>
  </si>
  <si>
    <t>Monthly billing is out of scope for MVP.</t>
  </si>
  <si>
    <t>Family workspace</t>
  </si>
  <si>
    <t>UC12, BR-SUB-02</t>
  </si>
  <si>
    <t>Free plan starts by default after workspace creation.</t>
  </si>
  <si>
    <t>Member management</t>
  </si>
  <si>
    <t>Basic</t>
  </si>
  <si>
    <t>Full</t>
  </si>
  <si>
    <t>UC14-UC20</t>
  </si>
  <si>
    <t>Member count is not the main selling point.</t>
  </si>
  <si>
    <t>Task management</t>
  </si>
  <si>
    <t>Plus unlocks full recurring task/reward settlement management.</t>
  </si>
  <si>
    <t>Internal allowance / reward record</t>
  </si>
  <si>
    <t>UC33, UC45-UC49, BR-FIN-07</t>
  </si>
  <si>
    <t>Internal record only, no real cash-out.</t>
  </si>
  <si>
    <t>Basic finance tracking</t>
  </si>
  <si>
    <t>UC21-UC29</t>
  </si>
  <si>
    <t>Core finance should remain available at basic level.</t>
  </si>
  <si>
    <t>Budget planning</t>
  </si>
  <si>
    <t>UC24-UC26</t>
  </si>
  <si>
    <t>Planned-vs-actual report</t>
  </si>
  <si>
    <t>No / Basic preview</t>
  </si>
  <si>
    <t>UC29, BR-SUB-03</t>
  </si>
  <si>
    <t>Key value for Finance after Review 1.</t>
  </si>
  <si>
    <t>Budget alerts</t>
  </si>
  <si>
    <t>UC30, BR-SUB-03</t>
  </si>
  <si>
    <t>Raised to Must-have in core finance scope.</t>
  </si>
  <si>
    <t>Export finance report</t>
  </si>
  <si>
    <t>Yes / Advanced</t>
  </si>
  <si>
    <t>BR-SUB-03, BR-SUB-07</t>
  </si>
  <si>
    <t>Can be implemented as PDF/Excel export later.</t>
  </si>
  <si>
    <t>Mobile SOS</t>
  </si>
  <si>
    <t>UC50-UC53</t>
  </si>
  <si>
    <t>Basic safety feature available to all plans.</t>
  </si>
  <si>
    <t>SOS location / route history</t>
  </si>
  <si>
    <t>Full / Advanced</t>
  </si>
  <si>
    <t>Only active-SOS tracking in current scope.</t>
  </si>
  <si>
    <t>Wearable / safety device SOS</t>
  </si>
  <si>
    <t>No / Demo preview</t>
  </si>
  <si>
    <t>UC56-UC57, BR-SOS-05</t>
  </si>
  <si>
    <t>Wearable can be simulated for capstone demo.</t>
  </si>
  <si>
    <t>Fall detection / abnormal movement alert</t>
  </si>
  <si>
    <t>Yes / Simulated</t>
  </si>
  <si>
    <t>UC58, BR-SOS-06</t>
  </si>
  <si>
    <t>Premium safety differentiator.</t>
  </si>
  <si>
    <t>AI finance summary</t>
  </si>
  <si>
    <t>No / Limited</t>
  </si>
  <si>
    <t>UC66, BR-AI-01, BR-AI-03</t>
  </si>
  <si>
    <t>AI respects role and permission.</t>
  </si>
  <si>
    <t>AI budget/saving suggestion</t>
  </si>
  <si>
    <t>Limited</t>
  </si>
  <si>
    <t>UC68, BR-AI-05</t>
  </si>
  <si>
    <t>Advisory only, does not change data automatically.</t>
  </si>
  <si>
    <t>Shared family album</t>
  </si>
  <si>
    <t>UC72-UC73</t>
  </si>
  <si>
    <t>Supporting feature, not main core flow.</t>
  </si>
  <si>
    <t>Manual member tagging in album</t>
  </si>
  <si>
    <t>Optional</t>
  </si>
  <si>
    <t>Safer than full face clustering for MVP.</t>
  </si>
  <si>
    <t>Face-based album grouping</t>
  </si>
  <si>
    <t>Future / Demo</t>
  </si>
  <si>
    <t>UC75, BR-ALB-02</t>
  </si>
  <si>
    <t>Not required for MVP.</t>
  </si>
  <si>
    <t>Upgrade support</t>
  </si>
  <si>
    <t>Can upgrade to Plus/Premium Annual</t>
  </si>
  <si>
    <t>Can upgrade to Premium Annual with prorated fee</t>
  </si>
  <si>
    <t>Already highest plan</t>
  </si>
  <si>
    <t>UC77, BR-SUB-09</t>
  </si>
  <si>
    <t>Feature activation after upgrade</t>
  </si>
  <si>
    <t>After annual payment</t>
  </si>
  <si>
    <t>Premium active immediately after prorated upgrade payment</t>
  </si>
  <si>
    <t>Already active</t>
  </si>
  <si>
    <t>UC77, BR-SUB-10</t>
  </si>
  <si>
    <t>Current expiration date remains unchanged for Plus-to-Premium upgrade.</t>
  </si>
  <si>
    <t>Renewal</t>
  </si>
  <si>
    <t>Not required</t>
  </si>
  <si>
    <t>Annual renewal</t>
  </si>
  <si>
    <t>UC78, BR-SUB-05</t>
  </si>
  <si>
    <t>Expired plan locks advanced features but keeps data viewable.</t>
  </si>
  <si>
    <t>Payment usage</t>
  </si>
  <si>
    <t>Subscription only</t>
  </si>
  <si>
    <t>No payment for Family Fund / allowance / reward records.</t>
  </si>
  <si>
    <t>Monthly billing</t>
  </si>
  <si>
    <t>Out of scope</t>
  </si>
  <si>
    <t>MVP supports annual-only paid plans.</t>
  </si>
  <si>
    <t>Main positioning</t>
  </si>
  <si>
    <t>Trial / Basic</t>
  </si>
  <si>
    <t>Family Management</t>
  </si>
  <si>
    <t>AI + Safety</t>
  </si>
  <si>
    <t>BR-SUB-02 to BR-SUB-04</t>
  </si>
  <si>
    <t>Plans are differentiated by value and capability.</t>
  </si>
  <si>
    <t>Mã UC</t>
  </si>
  <si>
    <t>Tên Use Case</t>
  </si>
  <si>
    <t>Actor chính</t>
  </si>
  <si>
    <t>Mô tả / Mục tiêu</t>
  </si>
  <si>
    <t>Độ ưu tiên</t>
  </si>
  <si>
    <t>Trạng thái</t>
  </si>
  <si>
    <t>Người phụ trách</t>
  </si>
  <si>
    <t>Mã rule liên quan</t>
  </si>
  <si>
    <t>Ghi chú</t>
  </si>
  <si>
    <t>Quyết định scope cuối</t>
  </si>
  <si>
    <t>Thông tin tài khoản được xử lý trước bước thiết lập workspace. Nếu email/số điện thoại đã tồn tại, hệ thống chuyển người dùng sang đăng nhập/quên mật khẩu hoặc gửi lại mã xác minh nếu tài khoản chưa xác minh.</t>
  </si>
  <si>
    <t>Mã flow</t>
  </si>
  <si>
    <t>Tên flow</t>
  </si>
  <si>
    <t>Loại flow</t>
  </si>
  <si>
    <t>Mục tiêu nghiệp vụ</t>
  </si>
  <si>
    <t>UC liên quan</t>
  </si>
  <si>
    <t>Module chính</t>
  </si>
  <si>
    <t>Kịch bản demo / Ghi chú</t>
  </si>
  <si>
    <t>Đăng ký tài khoản &amp; thiết lập Family Workspace</t>
  </si>
  <si>
    <t>Cho phép người dùng đăng ký/đăng nhập trước, sau đó hướng dẫn tạo Family Workspace mới hoặc tham gia workspace hiện có bằng invitation link trước khi vào dashboard.</t>
  </si>
  <si>
    <t>Khách / Người dùng / Người đại diện gia đình / Người dùng được mời</t>
  </si>
  <si>
    <t>Xác thực, Gia đình, Subscription</t>
  </si>
  <si>
    <t>Đăng ký/đăng nhập -&gt; xác minh nếu cần -&gt; kiểm tra workspace membership -&gt; tạo workspace mới hoặc tham gia bằng lời mời -&gt; gán vai trò -&gt; áp dụng gói mặc định cho workspace mới -&gt; vào dashboard.</t>
  </si>
  <si>
    <t>Mã rule</t>
  </si>
  <si>
    <t>Nhóm</t>
  </si>
  <si>
    <t>Business rule</t>
  </si>
  <si>
    <t>Áp dụng cho</t>
  </si>
  <si>
    <t>Có thể ủy quyền Deputy?</t>
  </si>
  <si>
    <t>Email/số điện thoại phải là duy nhất trong hệ thống. Nếu tài khoản đã tồn tại, hệ thống không được tạo tài khoản trùng lặp.</t>
  </si>
  <si>
    <t>Khách / Người dùng</t>
  </si>
  <si>
    <t>Tài khoản đã xác minh thì chuyển sang đăng nhập hoặc quên mật khẩu; tài khoản chưa xác minh thì cho phép gửi lại mã xác minh.</t>
  </si>
  <si>
    <t>Tên màn hình</t>
  </si>
  <si>
    <t>Nền tảng</t>
  </si>
  <si>
    <t>Bảng DB / Entity</t>
  </si>
  <si>
    <t>FE phụ trách</t>
  </si>
  <si>
    <t>BE phụ trách</t>
  </si>
  <si>
    <t>Số bước</t>
  </si>
  <si>
    <t>Loại bước</t>
  </si>
  <si>
    <t>Hành động / Sự kiện</t>
  </si>
  <si>
    <t>Phản hồi / Validation của hệ thống</t>
  </si>
  <si>
    <t>Trạng thái cuối / Output</t>
  </si>
  <si>
    <t>Tạo hoặc xác thực tài khoản người dùng và xử lý xác minh nếu cần.</t>
  </si>
  <si>
    <t>Hệ thống tạo/xác thực tài khoản và thiết lập trạng thái đã xác minh hoặc chờ xác minh.</t>
  </si>
  <si>
    <t>Tài khoản đã sẵn sàng hoặc đang chờ xác minh.</t>
  </si>
  <si>
    <t>Có thể mô phỏng xác minh tài khoản khi demo.</t>
  </si>
  <si>
    <t>Kiểm tra người dùng đã thuộc Family Workspace nào hay chưa.</t>
  </si>
  <si>
    <t>Hệ thống tìm bản ghi thành viên / workspace membership hiện có của người dùng.</t>
  </si>
  <si>
    <t>Trạng thái tham gia workspace đã được xác định.</t>
  </si>
  <si>
    <t>Nếu người dùng đã thuộc workspace, chuyển thẳng vào dashboard.</t>
  </si>
  <si>
    <t>Nếu người dùng chưa có workspace, hiển thị các lựa chọn thiết lập Family Workspace.</t>
  </si>
  <si>
    <t>Hệ thống hiển thị 2 lựa chọn: tạo Family Workspace mới hoặc tham gia workspace hiện có bằng invitation link.</t>
  </si>
  <si>
    <t>Lựa chọn thiết lập workspace được hiển thị.</t>
  </si>
  <si>
    <t>Không đưa người dùng vào dashboard trống trước khi thiết lập workspace.</t>
  </si>
  <si>
    <t>Tạo Family Workspace mới hoặc thêm người được mời vào workspace hiện có.</t>
  </si>
  <si>
    <t>Nếu tạo workspace, hệ thống tạo workspace và gán người tạo làm Family Manager chính duy nhất. Nếu tham gia bằng lời mời, hệ thống thêm người dùng với vai trò Family Member.</t>
  </si>
  <si>
    <t>Người dùng đã được liên kết với một Family Workspace.</t>
  </si>
  <si>
    <t>Chỉ người tạo workspace mới trở thành Family Manager chính.</t>
  </si>
  <si>
    <t>Áp dụng trạng thái gói Free/Basic mặc định cho workspace mới được tạo.</t>
  </si>
  <si>
    <t>Hệ thống thiết lập trạng thái subscription mặc định; gia hạn hoặc nâng cấp được xử lý sau khi workspace kích hoạt.</t>
  </si>
  <si>
    <t>Trạng thái subscription mặc định đã được áp dụng.</t>
  </si>
  <si>
    <t>Subscription management là chức năng sau onboarding.</t>
  </si>
  <si>
    <t>Kích hoạt hoặc xác thực quyền truy cập workspace theo trạng thái xác minh, invitation và subscription mặc định.</t>
  </si>
  <si>
    <t>Hệ thống cập nhật trạng thái kích hoạt/truy cập và ghi log thiết lập demo nếu cần.</t>
  </si>
  <si>
    <t>Quyền truy cập workspace đã sẵn sàng.</t>
  </si>
  <si>
    <t>Docker hiện chỉ dùng cho local/demo.</t>
  </si>
  <si>
    <t>Chuyển người dùng đến Family Dashboard phù hợp.</t>
  </si>
  <si>
    <t>Hệ thống chuyển Family Manager vào workspace home và thành viên được mời vào member dashboard.</t>
  </si>
  <si>
    <t>Người dùng vào dashboard của Family Workspace hợp lệ.</t>
  </si>
  <si>
    <t>Trạng thái cuối: người dùng có tài khoản và thuộc một Family Workspace.</t>
  </si>
  <si>
    <t>Mở ứng dụng và chọn Đăng ký hoặc Đăng nhập.</t>
  </si>
  <si>
    <t>Hệ thống hiển thị các màn hình xác thực tài khoản.</t>
  </si>
  <si>
    <t>Người dùng bắt đầu luồng xác thực.</t>
  </si>
  <si>
    <t>Thiết lập tài khoản được tách khỏi thiết lập workspace.</t>
  </si>
  <si>
    <t>Nhập thông tin đăng ký hoặc đăng nhập tài khoản.</t>
  </si>
  <si>
    <t>Hệ thống xác thực các trường bắt buộc, tính duy nhất của tài khoản và thông tin đăng nhập.</t>
  </si>
  <si>
    <t>Thông tin tài khoản được gửi và xác thực.</t>
  </si>
  <si>
    <t>Nếu tài khoản đã tồn tại, không tạo tài khoản trùng; hướng dẫn người dùng đăng nhập, quên mật khẩu hoặc gửi lại mã xác minh nếu chưa xác minh.</t>
  </si>
  <si>
    <t>Người dùng đã xác thực</t>
  </si>
  <si>
    <t>Chọn tạo Family Workspace mới hoặc tham gia bằng invitation link.</t>
  </si>
  <si>
    <t>Hệ thống xác thực thông tin workspace đã gửi hoặc xác thực invitation token.</t>
  </si>
  <si>
    <t>Yêu cầu tạo hoặc tham gia workspace được chấp nhận.</t>
  </si>
  <si>
    <t>Nhánh người tạo workspace và nhánh thành viên được mời nằm trong cùng luồng setup có hướng dẫn.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</si>
</sst>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b/>
      <sz val="11.0"/>
      <color rgb="FF000000"/>
      <name val="Arial"/>
    </font>
    <font>
      <sz val="11.0"/>
      <color rgb="FF434343"/>
      <name val="Arial"/>
    </font>
    <font>
      <sz val="11.0"/>
      <color rgb="FF434343"/>
      <name val="Ui-sans-serif"/>
    </font>
    <font>
      <b/>
      <color rgb="FFFFFFFF"/>
      <name val="Arial"/>
      <scheme val="minor"/>
    </font>
    <font>
      <sz val="9.0"/>
      <color rgb="FF000000"/>
      <name val="Ui-monospace"/>
    </font>
    <font>
      <color rgb="FF000000"/>
      <name val="Arial"/>
      <scheme val="minor"/>
    </font>
    <font>
      <b/>
      <sz val="14.0"/>
      <color rgb="FFFFFFFF"/>
      <name val="Arial"/>
      <scheme val="minor"/>
    </font>
  </fonts>
  <fills count="7">
    <fill>
      <patternFill patternType="none"/>
    </fill>
    <fill>
      <patternFill patternType="lightGray"/>
    </fill>
    <fill>
      <patternFill patternType="solid">
        <fgColor rgb="FFEAF4FF"/>
        <bgColor rgb="FFEAF4FF"/>
      </patternFill>
    </fill>
    <fill>
      <patternFill patternType="solid">
        <fgColor rgb="FFFFFFFF"/>
        <bgColor rgb="FFFFFFFF"/>
      </patternFill>
    </fill>
    <fill>
      <patternFill patternType="solid">
        <fgColor rgb="FFE5F4E5"/>
        <bgColor rgb="FFE5F4E5"/>
      </patternFill>
    </fill>
    <fill>
      <patternFill patternType="solid">
        <fgColor rgb="FF0C5956"/>
        <bgColor rgb="FF0C5956"/>
      </patternFill>
    </fill>
    <fill>
      <patternFill patternType="solid">
        <fgColor rgb="FF0F6360"/>
        <bgColor rgb="FF0F6360"/>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2" fontId="2" numFmtId="0" xfId="0" applyAlignment="1" applyFill="1" applyFont="1">
      <alignment readingOrder="0" shrinkToFit="0" vertical="top" wrapText="1"/>
    </xf>
    <xf borderId="0" fillId="2" fontId="2" numFmtId="0" xfId="0" applyAlignment="1" applyFont="1">
      <alignment readingOrder="0" shrinkToFit="0" vertical="top" wrapText="1"/>
    </xf>
    <xf borderId="0" fillId="2" fontId="2" numFmtId="0" xfId="0" applyAlignment="1" applyFont="1">
      <alignment readingOrder="0" shrinkToFit="0" vertical="top" wrapText="1"/>
    </xf>
    <xf borderId="0" fillId="3" fontId="3" numFmtId="0" xfId="0" applyAlignment="1" applyFill="1" applyFont="1">
      <alignment horizontal="left" readingOrder="0" shrinkToFit="0" vertical="center" wrapText="0"/>
    </xf>
    <xf borderId="0" fillId="3" fontId="4" numFmtId="0" xfId="0" applyAlignment="1" applyFont="1">
      <alignment horizontal="left" readingOrder="0" shrinkToFit="0" vertical="center" wrapText="0"/>
    </xf>
    <xf borderId="0" fillId="3" fontId="5" numFmtId="0" xfId="0" applyAlignment="1" applyFont="1">
      <alignment horizontal="left" readingOrder="0" shrinkToFit="0" vertical="center" wrapText="0"/>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3" fontId="4" numFmtId="0" xfId="0" applyAlignment="1" applyFont="1">
      <alignment horizontal="left" readingOrder="0" shrinkToFit="0" vertical="center" wrapText="0"/>
    </xf>
    <xf borderId="0" fillId="4" fontId="2" numFmtId="0" xfId="0" applyAlignment="1" applyFill="1" applyFont="1">
      <alignment readingOrder="0" shrinkToFit="0" vertical="center" wrapText="1"/>
    </xf>
    <xf borderId="0" fillId="4" fontId="2" numFmtId="0" xfId="0" applyAlignment="1" applyFont="1">
      <alignment readingOrder="0" shrinkToFit="0" vertical="center" wrapText="1"/>
    </xf>
    <xf borderId="0" fillId="4" fontId="2" numFmtId="0" xfId="0" applyAlignment="1" applyFont="1">
      <alignment readingOrder="0" shrinkToFit="0" vertical="center"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5" fontId="6" numFmtId="0" xfId="0" applyAlignment="1" applyFill="1" applyFont="1">
      <alignment horizontal="center" readingOrder="0" shrinkToFit="0" vertical="center" wrapText="1"/>
    </xf>
    <xf borderId="0" fillId="0" fontId="2" numFmtId="0" xfId="0" applyAlignment="1" applyFont="1">
      <alignment readingOrder="0" shrinkToFit="0" vertical="center" wrapText="0"/>
    </xf>
    <xf borderId="0" fillId="4" fontId="2" numFmtId="0" xfId="0" applyAlignment="1" applyFont="1">
      <alignment readingOrder="0" shrinkToFit="0" vertical="center" wrapText="1"/>
    </xf>
    <xf borderId="0" fillId="0" fontId="2" numFmtId="0" xfId="0" applyAlignment="1" applyFont="1">
      <alignment shrinkToFit="0" vertical="center" wrapText="0"/>
    </xf>
    <xf borderId="0" fillId="3" fontId="7" numFmtId="0" xfId="0" applyAlignment="1" applyFill="1" applyFont="1">
      <alignment horizontal="left" readingOrder="0" shrinkToFit="0" vertical="center" wrapText="0"/>
    </xf>
    <xf borderId="0" fillId="0" fontId="8"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xf>
    <xf borderId="0" fillId="6" fontId="9" numFmtId="0" xfId="0" applyAlignment="1" applyFill="1" applyFont="1">
      <alignment horizontal="center" readingOrder="0" shrinkToFit="0" vertical="center" wrapText="1"/>
    </xf>
    <xf borderId="0" fillId="6" fontId="9" numFmtId="0" xfId="0" applyAlignment="1" applyFont="1">
      <alignment horizontal="center" readingOrder="0" shrinkToFit="0" vertical="center" wrapText="1"/>
    </xf>
    <xf borderId="0" fillId="0" fontId="2" numFmtId="0" xfId="0" applyAlignment="1" applyFont="1">
      <alignment shrinkToFit="0" vertical="center" wrapText="1"/>
    </xf>
    <xf borderId="0" fillId="0" fontId="1" numFmtId="0" xfId="0" applyAlignment="1" applyFont="1">
      <alignment horizontal="center" readingOrder="0" shrinkToFit="0" vertical="center" wrapText="1"/>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Font="1"/>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1">
    <tableStyle count="4" pivot="0" name="Use Case Tracker-style">
      <tableStyleElement dxfId="1" type="headerRow"/>
      <tableStyleElement dxfId="2" type="firstRowStripe"/>
      <tableStyleElement dxfId="3" type="secondRowStripe"/>
      <tableStyleElement dxfId="4" size="0" type="wholeTable"/>
    </tableStyle>
    <tableStyle count="4" pivot="0" name="Main Core Flow Mapping-style">
      <tableStyleElement dxfId="1" type="headerRow"/>
      <tableStyleElement dxfId="2" type="firstRowStripe"/>
      <tableStyleElement dxfId="3" type="secondRowStripe"/>
      <tableStyleElement dxfId="4" size="0" type="wholeTable"/>
    </tableStyle>
    <tableStyle count="4" pivot="0" name="Business Rule &amp; Permission-style">
      <tableStyleElement dxfId="1" type="headerRow"/>
      <tableStyleElement dxfId="2" type="firstRowStripe"/>
      <tableStyleElement dxfId="3" type="secondRowStripe"/>
      <tableStyleElement dxfId="4" size="0" type="wholeTable"/>
    </tableStyle>
    <tableStyle count="4" pivot="0" name="API Screen DB Mapping-style">
      <tableStyleElement dxfId="1" type="headerRow"/>
      <tableStyleElement dxfId="2" type="firstRowStripe"/>
      <tableStyleElement dxfId="3" type="secondRowStripe"/>
      <tableStyleElement dxfId="4" size="0" type="wholeTable"/>
    </tableStyle>
    <tableStyle count="4" pivot="0" name="Main Flow Steps-style">
      <tableStyleElement dxfId="1" type="headerRow"/>
      <tableStyleElement dxfId="2" type="firstRowStripe"/>
      <tableStyleElement dxfId="3" type="secondRowStripe"/>
      <tableStyleElement dxfId="4" size="0" type="wholeTable"/>
    </tableStyle>
    <tableStyle count="4" pivot="0" name="Subscription Plan Matrix-style">
      <tableStyleElement dxfId="1" type="headerRow"/>
      <tableStyleElement dxfId="2" type="firstRowStripe"/>
      <tableStyleElement dxfId="3" type="secondRowStripe"/>
      <tableStyleElement dxfId="4" size="0" type="wholeTable"/>
    </tableStyle>
    <tableStyle count="4" pivot="0" name="VI - Use Case Tracker-style">
      <tableStyleElement dxfId="1" type="headerRow"/>
      <tableStyleElement dxfId="2" type="firstRowStripe"/>
      <tableStyleElement dxfId="3" type="secondRowStripe"/>
      <tableStyleElement dxfId="4" size="0" type="wholeTable"/>
    </tableStyle>
    <tableStyle count="4" pivot="0" name="VI - Main Flow Mapping-style">
      <tableStyleElement dxfId="1" type="headerRow"/>
      <tableStyleElement dxfId="2" type="firstRowStripe"/>
      <tableStyleElement dxfId="3" type="secondRowStripe"/>
      <tableStyleElement dxfId="4" size="0" type="wholeTable"/>
    </tableStyle>
    <tableStyle count="4" pivot="0" name="VI - Business Rules-style">
      <tableStyleElement dxfId="1" type="headerRow"/>
      <tableStyleElement dxfId="2" type="firstRowStripe"/>
      <tableStyleElement dxfId="3" type="secondRowStripe"/>
      <tableStyleElement dxfId="4" size="0" type="wholeTable"/>
    </tableStyle>
    <tableStyle count="4" pivot="0" name="VI - API Screen DB-style">
      <tableStyleElement dxfId="1" type="headerRow"/>
      <tableStyleElement dxfId="2" type="firstRowStripe"/>
      <tableStyleElement dxfId="3" type="secondRowStripe"/>
      <tableStyleElement dxfId="4" size="0" type="wholeTable"/>
    </tableStyle>
    <tableStyle count="4" pivot="0" name="VI - Main Flow Step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92" displayName="Bảng_1" name="Bảng_1" id="1">
  <tableColumns count="12">
    <tableColumn name="UC ID" id="1"/>
    <tableColumn name="UC Name" id="2"/>
    <tableColumn name="Main Flow" id="3"/>
    <tableColumn name="Module" id="4"/>
    <tableColumn name="Primary Actor" id="5"/>
    <tableColumn name="Description / Goal" id="6"/>
    <tableColumn name="Priority" id="7"/>
    <tableColumn name="Status" id="8"/>
    <tableColumn name="Owner" id="9"/>
    <tableColumn name="Related Rule ID" id="10"/>
    <tableColumn name="Notes" id="11"/>
    <tableColumn name="Final Scope Decision" id="12"/>
  </tableColumns>
  <tableStyleInfo name="Use Case Tracker-style" showColumnStripes="0" showFirstColumn="1" showLastColumn="1" showRowStripes="1"/>
</table>
</file>

<file path=xl/tables/table2.xml><?xml version="1.0" encoding="utf-8"?>
<table xmlns="http://schemas.openxmlformats.org/spreadsheetml/2006/main" ref="A1:J10" displayName="Bảng_2" name="Bảng_2" id="2">
  <tableColumns count="10">
    <tableColumn name="Flow ID" id="1"/>
    <tableColumn name="Flow Name" id="2"/>
    <tableColumn name="Flow Type" id="3"/>
    <tableColumn name="Business Goal" id="4"/>
    <tableColumn name="Related UC IDs" id="5"/>
    <tableColumn name="Main Actor" id="6"/>
    <tableColumn name="Main Module" id="7"/>
    <tableColumn name="Priority" id="8"/>
    <tableColumn name="Owner" id="9"/>
    <tableColumn name="Demo Scenario / Notes" id="10"/>
  </tableColumns>
  <tableStyleInfo name="Main Core Flow Mapping-style" showColumnStripes="0" showFirstColumn="1" showLastColumn="1" showRowStripes="1"/>
</table>
</file>

<file path=xl/tables/table3.xml><?xml version="1.0" encoding="utf-8"?>
<table xmlns="http://schemas.openxmlformats.org/spreadsheetml/2006/main" ref="A1:J75" displayName="Bảng_3" name="Bảng_3" id="3">
  <tableColumns count="10">
    <tableColumn name="Rule ID" id="1"/>
    <tableColumn name="Category" id="2"/>
    <tableColumn name="Business Rule" id="3"/>
    <tableColumn name="Applies To" id="4"/>
    <tableColumn name="Can Delegate to Deputy?" id="5"/>
    <tableColumn name="Related UC" id="6"/>
    <tableColumn name="Module" id="7"/>
    <tableColumn name="Priority" id="8"/>
    <tableColumn name="Status" id="9"/>
    <tableColumn name="Notes" id="10"/>
  </tableColumns>
  <tableStyleInfo name="Business Rule &amp; Permission-style" showColumnStripes="0" showFirstColumn="1" showLastColumn="1" showRowStripes="1"/>
</table>
</file>

<file path=xl/tables/table4.xml><?xml version="1.0" encoding="utf-8"?>
<table xmlns="http://schemas.openxmlformats.org/spreadsheetml/2006/main" ref="A1:L91" displayName="Bảng_4" name="Bảng_4" id="4">
  <tableColumns count="12">
    <tableColumn name="UC ID" id="1"/>
    <tableColumn name="Screen Name" id="2"/>
    <tableColumn name="Platform" id="3"/>
    <tableColumn name="API Endpoint" id="4"/>
    <tableColumn name="Method" id="5"/>
    <tableColumn name="Request DTO" id="6"/>
    <tableColumn name="Response DTO" id="7"/>
    <tableColumn name="DB Tables / Entities" id="8"/>
    <tableColumn name="FE Owner" id="9"/>
    <tableColumn name="BE Owner" id="10"/>
    <tableColumn name="Status" id="11"/>
    <tableColumn name="Notes" id="12"/>
  </tableColumns>
  <tableStyleInfo name="API Screen DB Mapping-style" showColumnStripes="0" showFirstColumn="1" showLastColumn="1" showRowStripes="1"/>
</table>
</file>

<file path=xl/tables/table5.xml><?xml version="1.0" encoding="utf-8"?>
<table xmlns="http://schemas.openxmlformats.org/spreadsheetml/2006/main" ref="A1:K90" displayName="Bảng_10" name="Bảng_10" id="5">
  <tableColumns count="11">
    <tableColumn name="x" id="1"/>
    <tableColumn name="Flow Name" id="2"/>
    <tableColumn name="Step No." id="3"/>
    <tableColumn name="Step Type" id="4"/>
    <tableColumn name="Actor / System" id="5"/>
    <tableColumn name="Action / Event" id="6"/>
    <tableColumn name="System Response / Validation" id="7"/>
    <tableColumn name="Related UC" id="8"/>
    <tableColumn name="Related Rule ID" id="9"/>
    <tableColumn name="Final Status / Output" id="10"/>
    <tableColumn name="Notes" id="11"/>
  </tableColumns>
  <tableStyleInfo name="Main Flow Steps-style" showColumnStripes="0" showFirstColumn="1" showLastColumn="1" showRowStripes="1"/>
</table>
</file>

<file path=xl/tables/table6.xml><?xml version="1.0" encoding="utf-8"?>
<table xmlns="http://schemas.openxmlformats.org/spreadsheetml/2006/main" ref="A3:F29" displayName="Bảng_11" name="Bảng_11" id="6">
  <tableColumns count="6">
    <tableColumn name="Feature / Capability" id="1"/>
    <tableColumn name="Free" id="2"/>
    <tableColumn name="Plus Annual" id="3"/>
    <tableColumn name="Premium Annual" id="4"/>
    <tableColumn name="Related UC / Rule" id="5"/>
    <tableColumn name="Notes" id="6"/>
  </tableColumns>
  <tableStyleInfo name="Subscription Plan Matrix-style" showColumnStripes="0" showFirstColumn="1" showLastColumn="1" showRowStripes="1"/>
</table>
</file>

<file path=xl/tables/table7.xml><?xml version="1.0" encoding="utf-8"?>
<table xmlns="http://schemas.openxmlformats.org/spreadsheetml/2006/main" ref="A1:L56" displayName="Bảng_9" name="Bảng_9" id="7">
  <tableColumns count="12">
    <tableColumn name="Mã UC" id="1"/>
    <tableColumn name="Tên Use Case" id="2"/>
    <tableColumn name="Luồng chính" id="3"/>
    <tableColumn name="Module" id="4"/>
    <tableColumn name="Actor chính" id="5"/>
    <tableColumn name="Mô tả / Mục tiêu" id="6"/>
    <tableColumn name="Độ ưu tiên" id="7"/>
    <tableColumn name="Trạng thái" id="8"/>
    <tableColumn name="Người phụ trách" id="9"/>
    <tableColumn name="Mã rule liên quan" id="10"/>
    <tableColumn name="Ghi chú" id="11"/>
    <tableColumn name="Quyết định scope cuối" id="12"/>
  </tableColumns>
  <tableStyleInfo name="VI - Use Case Tracker-style" showColumnStripes="0" showFirstColumn="1" showLastColumn="1" showRowStripes="1"/>
</table>
</file>

<file path=xl/tables/table8.xml><?xml version="1.0" encoding="utf-8"?>
<table xmlns="http://schemas.openxmlformats.org/spreadsheetml/2006/main" ref="A1:J9" displayName="Bảng_6" name="Bảng_6" id="8">
  <tableColumns count="10">
    <tableColumn name="Mã flow" id="1"/>
    <tableColumn name="Tên flow" id="2"/>
    <tableColumn name="Loại flow" id="3"/>
    <tableColumn name="Mục tiêu nghiệp vụ" id="4"/>
    <tableColumn name="UC liên quan" id="5"/>
    <tableColumn name="Actor chính" id="6"/>
    <tableColumn name="Module chính" id="7"/>
    <tableColumn name="Độ ưu tiên" id="8"/>
    <tableColumn name="Người phụ trách" id="9"/>
    <tableColumn name="Kịch bản demo / Ghi chú" id="10"/>
  </tableColumns>
  <tableStyleInfo name="VI - Main Flow Mapping-style" showColumnStripes="0" showFirstColumn="1" showLastColumn="1" showRowStripes="1"/>
</table>
</file>

<file path=xl/tables/table9.xml><?xml version="1.0" encoding="utf-8"?>
<table xmlns="http://schemas.openxmlformats.org/spreadsheetml/2006/main" ref="A1:J31" displayName="Bảng_7" name="Bảng_7" id="9">
  <tableColumns count="10">
    <tableColumn name="Mã rule" id="1"/>
    <tableColumn name="Nhóm" id="2"/>
    <tableColumn name="Business rule" id="3"/>
    <tableColumn name="Áp dụng cho" id="4"/>
    <tableColumn name="Có thể ủy quyền Deputy?" id="5"/>
    <tableColumn name="UC liên quan" id="6"/>
    <tableColumn name="Module" id="7"/>
    <tableColumn name="Độ ưu tiên" id="8"/>
    <tableColumn name="Trạng thái" id="9"/>
    <tableColumn name="Ghi chú" id="10"/>
  </tableColumns>
  <tableStyleInfo name="VI - Business Rules-style" showColumnStripes="0" showFirstColumn="1" showLastColumn="1" showRowStripes="1"/>
</table>
</file>

<file path=xl/tables/table10.xml><?xml version="1.0" encoding="utf-8"?>
<table xmlns="http://schemas.openxmlformats.org/spreadsheetml/2006/main" ref="A1:L56" displayName="Bảng_8" name="Bảng_8" id="10">
  <tableColumns count="12">
    <tableColumn name="Mã UC" id="1"/>
    <tableColumn name="Tên màn hình" id="2"/>
    <tableColumn name="Nền tảng" id="3"/>
    <tableColumn name="API Endpoint" id="4"/>
    <tableColumn name="Method" id="5"/>
    <tableColumn name="Request DTO" id="6"/>
    <tableColumn name="Response DTO" id="7"/>
    <tableColumn name="Bảng DB / Entity" id="8"/>
    <tableColumn name="FE phụ trách" id="9"/>
    <tableColumn name="BE phụ trách" id="10"/>
    <tableColumn name="Trạng thái" id="11"/>
    <tableColumn name="Ghi chú" id="12"/>
  </tableColumns>
  <tableStyleInfo name="VI - API Screen DB-style" showColumnStripes="0" showFirstColumn="1" showLastColumn="1" showRowStripes="1"/>
</table>
</file>

<file path=xl/tables/table11.xml><?xml version="1.0" encoding="utf-8"?>
<table xmlns="http://schemas.openxmlformats.org/spreadsheetml/2006/main" ref="A1:K53" displayName="Bảng_5" name="Bảng_5" id="11">
  <tableColumns count="11">
    <tableColumn name="Mã flow" id="1"/>
    <tableColumn name="Tên flow" id="2"/>
    <tableColumn name="Số bước" id="3"/>
    <tableColumn name="Loại bước" id="4"/>
    <tableColumn name="Actor / System" id="5"/>
    <tableColumn name="Hành động / Sự kiện" id="6"/>
    <tableColumn name="Phản hồi / Validation của hệ thống" id="7"/>
    <tableColumn name="UC liên quan" id="8"/>
    <tableColumn name="Mã rule liên quan" id="9"/>
    <tableColumn name="Trạng thái cuối / Output" id="10"/>
    <tableColumn name="Ghi chú" id="11"/>
  </tableColumns>
  <tableStyleInfo name="VI - Main Flow Ste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32.63"/>
    <col customWidth="1" min="3" max="5" width="21.38"/>
    <col customWidth="1" min="6" max="6" width="40.13"/>
    <col customWidth="1" min="7" max="12" width="16.3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t="s">
        <v>12</v>
      </c>
      <c r="B2" s="2" t="s">
        <v>13</v>
      </c>
      <c r="C2" s="2" t="s">
        <v>14</v>
      </c>
      <c r="D2" s="3" t="s">
        <v>15</v>
      </c>
      <c r="E2" s="2" t="s">
        <v>16</v>
      </c>
      <c r="F2" s="2" t="s">
        <v>17</v>
      </c>
      <c r="G2" s="3" t="s">
        <v>18</v>
      </c>
      <c r="H2" s="2" t="s">
        <v>19</v>
      </c>
      <c r="I2" s="4" t="s">
        <v>20</v>
      </c>
      <c r="J2" s="2" t="s">
        <v>21</v>
      </c>
      <c r="K2" s="2" t="s">
        <v>22</v>
      </c>
      <c r="L2" s="2" t="s">
        <v>23</v>
      </c>
    </row>
    <row r="3" ht="22.5" customHeight="1">
      <c r="A3" s="2" t="s">
        <v>24</v>
      </c>
      <c r="B3" s="2" t="s">
        <v>25</v>
      </c>
      <c r="C3" s="2" t="s">
        <v>14</v>
      </c>
      <c r="D3" s="3" t="s">
        <v>16</v>
      </c>
      <c r="E3" s="2" t="s">
        <v>16</v>
      </c>
      <c r="F3" s="2" t="s">
        <v>26</v>
      </c>
      <c r="G3" s="3" t="s">
        <v>18</v>
      </c>
      <c r="H3" s="2" t="s">
        <v>19</v>
      </c>
      <c r="I3" s="4"/>
      <c r="J3" s="2" t="s">
        <v>27</v>
      </c>
      <c r="K3" s="5"/>
      <c r="L3" s="2" t="s">
        <v>23</v>
      </c>
    </row>
    <row r="4" ht="22.5" customHeight="1">
      <c r="A4" s="2" t="s">
        <v>28</v>
      </c>
      <c r="B4" s="2" t="s">
        <v>29</v>
      </c>
      <c r="C4" s="2" t="s">
        <v>14</v>
      </c>
      <c r="D4" s="3" t="s">
        <v>16</v>
      </c>
      <c r="E4" s="2" t="s">
        <v>16</v>
      </c>
      <c r="F4" s="2" t="s">
        <v>30</v>
      </c>
      <c r="G4" s="3" t="s">
        <v>18</v>
      </c>
      <c r="H4" s="2" t="s">
        <v>19</v>
      </c>
      <c r="I4" s="4"/>
      <c r="J4" s="2" t="s">
        <v>31</v>
      </c>
      <c r="K4" s="5"/>
      <c r="L4" s="2" t="s">
        <v>23</v>
      </c>
    </row>
    <row r="5" ht="22.5" customHeight="1">
      <c r="A5" s="2" t="s">
        <v>32</v>
      </c>
      <c r="B5" s="2" t="s">
        <v>33</v>
      </c>
      <c r="C5" s="2" t="s">
        <v>14</v>
      </c>
      <c r="D5" s="3" t="s">
        <v>16</v>
      </c>
      <c r="E5" s="2" t="s">
        <v>16</v>
      </c>
      <c r="F5" s="2" t="s">
        <v>34</v>
      </c>
      <c r="G5" s="3" t="s">
        <v>18</v>
      </c>
      <c r="H5" s="2" t="s">
        <v>19</v>
      </c>
      <c r="I5" s="4"/>
      <c r="J5" s="2" t="s">
        <v>35</v>
      </c>
      <c r="K5" s="5"/>
      <c r="L5" s="2" t="s">
        <v>23</v>
      </c>
    </row>
    <row r="6" ht="22.5" customHeight="1">
      <c r="A6" s="2" t="s">
        <v>36</v>
      </c>
      <c r="B6" s="2" t="s">
        <v>37</v>
      </c>
      <c r="C6" s="2" t="s">
        <v>14</v>
      </c>
      <c r="D6" s="3" t="s">
        <v>16</v>
      </c>
      <c r="E6" s="2" t="s">
        <v>16</v>
      </c>
      <c r="F6" s="2" t="s">
        <v>38</v>
      </c>
      <c r="G6" s="3" t="s">
        <v>39</v>
      </c>
      <c r="H6" s="2" t="s">
        <v>19</v>
      </c>
      <c r="I6" s="4"/>
      <c r="J6" s="2" t="s">
        <v>40</v>
      </c>
      <c r="K6" s="5"/>
      <c r="L6" s="2" t="s">
        <v>23</v>
      </c>
    </row>
    <row r="7" ht="22.5" customHeight="1">
      <c r="A7" s="2" t="s">
        <v>41</v>
      </c>
      <c r="B7" s="2" t="s">
        <v>42</v>
      </c>
      <c r="C7" s="2" t="s">
        <v>14</v>
      </c>
      <c r="D7" s="3" t="s">
        <v>16</v>
      </c>
      <c r="E7" s="2" t="s">
        <v>16</v>
      </c>
      <c r="F7" s="2" t="s">
        <v>43</v>
      </c>
      <c r="G7" s="3" t="s">
        <v>39</v>
      </c>
      <c r="H7" s="2" t="s">
        <v>19</v>
      </c>
      <c r="I7" s="4"/>
      <c r="J7" s="2" t="s">
        <v>44</v>
      </c>
      <c r="K7" s="5"/>
      <c r="L7" s="2" t="s">
        <v>23</v>
      </c>
    </row>
    <row r="8" ht="22.5" customHeight="1">
      <c r="A8" s="2" t="s">
        <v>45</v>
      </c>
      <c r="B8" s="2" t="s">
        <v>46</v>
      </c>
      <c r="C8" s="2" t="s">
        <v>14</v>
      </c>
      <c r="D8" s="3" t="s">
        <v>16</v>
      </c>
      <c r="E8" s="2" t="s">
        <v>16</v>
      </c>
      <c r="F8" s="2" t="s">
        <v>47</v>
      </c>
      <c r="G8" s="3" t="s">
        <v>39</v>
      </c>
      <c r="H8" s="2" t="s">
        <v>19</v>
      </c>
      <c r="I8" s="4"/>
      <c r="J8" s="2" t="s">
        <v>44</v>
      </c>
      <c r="K8" s="5"/>
      <c r="L8" s="2" t="s">
        <v>23</v>
      </c>
    </row>
    <row r="9" ht="22.5" customHeight="1">
      <c r="A9" s="2" t="s">
        <v>48</v>
      </c>
      <c r="B9" s="2" t="s">
        <v>49</v>
      </c>
      <c r="C9" s="2" t="s">
        <v>14</v>
      </c>
      <c r="D9" s="3" t="s">
        <v>16</v>
      </c>
      <c r="E9" s="2" t="s">
        <v>16</v>
      </c>
      <c r="F9" s="2" t="s">
        <v>50</v>
      </c>
      <c r="G9" s="3" t="s">
        <v>51</v>
      </c>
      <c r="H9" s="2" t="s">
        <v>19</v>
      </c>
      <c r="I9" s="4"/>
      <c r="J9" s="2" t="s">
        <v>52</v>
      </c>
      <c r="K9" s="5"/>
      <c r="L9" s="2" t="s">
        <v>53</v>
      </c>
    </row>
    <row r="10" ht="22.5" customHeight="1">
      <c r="A10" s="2" t="s">
        <v>54</v>
      </c>
      <c r="B10" s="2" t="s">
        <v>55</v>
      </c>
      <c r="C10" s="2" t="s">
        <v>56</v>
      </c>
      <c r="D10" s="3" t="s">
        <v>57</v>
      </c>
      <c r="E10" s="2" t="s">
        <v>58</v>
      </c>
      <c r="F10" s="2" t="s">
        <v>59</v>
      </c>
      <c r="G10" s="3" t="s">
        <v>18</v>
      </c>
      <c r="H10" s="2" t="s">
        <v>19</v>
      </c>
      <c r="I10" s="4"/>
      <c r="J10" s="2" t="s">
        <v>60</v>
      </c>
      <c r="K10" s="2" t="s">
        <v>61</v>
      </c>
      <c r="L10" s="2" t="s">
        <v>23</v>
      </c>
    </row>
    <row r="11" ht="22.5" customHeight="1">
      <c r="A11" s="2" t="s">
        <v>62</v>
      </c>
      <c r="B11" s="2" t="s">
        <v>63</v>
      </c>
      <c r="C11" s="2" t="s">
        <v>56</v>
      </c>
      <c r="D11" s="3" t="s">
        <v>57</v>
      </c>
      <c r="E11" s="2" t="s">
        <v>58</v>
      </c>
      <c r="F11" s="2" t="s">
        <v>64</v>
      </c>
      <c r="G11" s="3" t="s">
        <v>18</v>
      </c>
      <c r="H11" s="2" t="s">
        <v>19</v>
      </c>
      <c r="I11" s="4"/>
      <c r="J11" s="2" t="s">
        <v>65</v>
      </c>
      <c r="K11" s="2" t="s">
        <v>66</v>
      </c>
      <c r="L11" s="2" t="s">
        <v>23</v>
      </c>
    </row>
    <row r="12" ht="22.5" customHeight="1">
      <c r="A12" s="2" t="s">
        <v>67</v>
      </c>
      <c r="B12" s="2" t="s">
        <v>68</v>
      </c>
      <c r="C12" s="2" t="s">
        <v>56</v>
      </c>
      <c r="D12" s="3" t="s">
        <v>57</v>
      </c>
      <c r="E12" s="2" t="s">
        <v>69</v>
      </c>
      <c r="F12" s="2" t="s">
        <v>70</v>
      </c>
      <c r="G12" s="3" t="s">
        <v>18</v>
      </c>
      <c r="H12" s="2" t="s">
        <v>19</v>
      </c>
      <c r="I12" s="4"/>
      <c r="J12" s="2" t="s">
        <v>71</v>
      </c>
      <c r="K12" s="2" t="s">
        <v>72</v>
      </c>
      <c r="L12" s="2" t="s">
        <v>23</v>
      </c>
    </row>
    <row r="13" ht="22.5" customHeight="1">
      <c r="A13" s="2" t="s">
        <v>73</v>
      </c>
      <c r="B13" s="2" t="s">
        <v>74</v>
      </c>
      <c r="C13" s="2" t="s">
        <v>56</v>
      </c>
      <c r="D13" s="3" t="s">
        <v>75</v>
      </c>
      <c r="E13" s="2" t="s">
        <v>58</v>
      </c>
      <c r="F13" s="2" t="s">
        <v>76</v>
      </c>
      <c r="G13" s="3" t="s">
        <v>18</v>
      </c>
      <c r="H13" s="2" t="s">
        <v>19</v>
      </c>
      <c r="I13" s="4"/>
      <c r="J13" s="2" t="s">
        <v>77</v>
      </c>
      <c r="K13" s="2" t="s">
        <v>78</v>
      </c>
      <c r="L13" s="2" t="s">
        <v>23</v>
      </c>
    </row>
    <row r="14" ht="22.5" customHeight="1">
      <c r="A14" s="2" t="s">
        <v>79</v>
      </c>
      <c r="B14" s="2" t="s">
        <v>80</v>
      </c>
      <c r="C14" s="2" t="s">
        <v>56</v>
      </c>
      <c r="D14" s="3" t="s">
        <v>75</v>
      </c>
      <c r="E14" s="2" t="s">
        <v>81</v>
      </c>
      <c r="F14" s="2" t="s">
        <v>82</v>
      </c>
      <c r="G14" s="3" t="s">
        <v>18</v>
      </c>
      <c r="H14" s="2" t="s">
        <v>19</v>
      </c>
      <c r="I14" s="4"/>
      <c r="J14" s="2" t="s">
        <v>83</v>
      </c>
      <c r="K14" s="2" t="s">
        <v>84</v>
      </c>
      <c r="L14" s="2" t="s">
        <v>23</v>
      </c>
    </row>
    <row r="15" ht="22.5" customHeight="1">
      <c r="A15" s="2" t="s">
        <v>85</v>
      </c>
      <c r="B15" s="2" t="s">
        <v>86</v>
      </c>
      <c r="C15" s="2" t="s">
        <v>87</v>
      </c>
      <c r="D15" s="3" t="s">
        <v>75</v>
      </c>
      <c r="E15" s="2" t="s">
        <v>88</v>
      </c>
      <c r="F15" s="2" t="s">
        <v>86</v>
      </c>
      <c r="G15" s="3" t="s">
        <v>18</v>
      </c>
      <c r="H15" s="2" t="s">
        <v>19</v>
      </c>
      <c r="I15" s="4"/>
      <c r="J15" s="2" t="s">
        <v>89</v>
      </c>
      <c r="K15" s="5"/>
      <c r="L15" s="2" t="s">
        <v>23</v>
      </c>
    </row>
    <row r="16" ht="22.5" customHeight="1">
      <c r="A16" s="2" t="s">
        <v>90</v>
      </c>
      <c r="B16" s="2" t="s">
        <v>91</v>
      </c>
      <c r="C16" s="2" t="s">
        <v>87</v>
      </c>
      <c r="D16" s="3" t="s">
        <v>75</v>
      </c>
      <c r="E16" s="2" t="s">
        <v>88</v>
      </c>
      <c r="F16" s="2" t="s">
        <v>91</v>
      </c>
      <c r="G16" s="3" t="s">
        <v>18</v>
      </c>
      <c r="H16" s="2" t="s">
        <v>19</v>
      </c>
      <c r="I16" s="4"/>
      <c r="J16" s="2" t="s">
        <v>92</v>
      </c>
      <c r="K16" s="5"/>
      <c r="L16" s="2" t="s">
        <v>23</v>
      </c>
    </row>
    <row r="17" ht="22.5" customHeight="1">
      <c r="A17" s="2" t="s">
        <v>93</v>
      </c>
      <c r="B17" s="2" t="s">
        <v>94</v>
      </c>
      <c r="C17" s="2" t="s">
        <v>87</v>
      </c>
      <c r="D17" s="3" t="s">
        <v>75</v>
      </c>
      <c r="E17" s="2" t="s">
        <v>88</v>
      </c>
      <c r="F17" s="2" t="s">
        <v>94</v>
      </c>
      <c r="G17" s="3" t="s">
        <v>39</v>
      </c>
      <c r="H17" s="2" t="s">
        <v>19</v>
      </c>
      <c r="I17" s="4"/>
      <c r="J17" s="2" t="s">
        <v>83</v>
      </c>
      <c r="K17" s="5"/>
      <c r="L17" s="2" t="s">
        <v>23</v>
      </c>
    </row>
    <row r="18" ht="22.5" customHeight="1">
      <c r="A18" s="2" t="s">
        <v>95</v>
      </c>
      <c r="B18" s="2" t="s">
        <v>96</v>
      </c>
      <c r="C18" s="2" t="s">
        <v>87</v>
      </c>
      <c r="D18" s="3" t="s">
        <v>75</v>
      </c>
      <c r="E18" s="2" t="s">
        <v>88</v>
      </c>
      <c r="F18" s="2" t="s">
        <v>96</v>
      </c>
      <c r="G18" s="3" t="s">
        <v>18</v>
      </c>
      <c r="H18" s="2" t="s">
        <v>19</v>
      </c>
      <c r="I18" s="4"/>
      <c r="J18" s="2" t="s">
        <v>97</v>
      </c>
      <c r="K18" s="5"/>
      <c r="L18" s="2" t="s">
        <v>23</v>
      </c>
    </row>
    <row r="19" ht="22.5" customHeight="1">
      <c r="A19" s="2" t="s">
        <v>98</v>
      </c>
      <c r="B19" s="2" t="s">
        <v>99</v>
      </c>
      <c r="C19" s="2" t="s">
        <v>87</v>
      </c>
      <c r="D19" s="3" t="s">
        <v>75</v>
      </c>
      <c r="E19" s="2" t="s">
        <v>88</v>
      </c>
      <c r="F19" s="2" t="s">
        <v>99</v>
      </c>
      <c r="G19" s="3" t="s">
        <v>18</v>
      </c>
      <c r="H19" s="2" t="s">
        <v>19</v>
      </c>
      <c r="I19" s="4"/>
      <c r="J19" s="2" t="s">
        <v>100</v>
      </c>
      <c r="K19" s="5"/>
      <c r="L19" s="2" t="s">
        <v>23</v>
      </c>
    </row>
    <row r="20" ht="22.5" customHeight="1">
      <c r="A20" s="2" t="s">
        <v>101</v>
      </c>
      <c r="B20" s="2" t="s">
        <v>102</v>
      </c>
      <c r="C20" s="2" t="s">
        <v>87</v>
      </c>
      <c r="D20" s="3" t="s">
        <v>75</v>
      </c>
      <c r="E20" s="2" t="s">
        <v>88</v>
      </c>
      <c r="F20" s="2" t="s">
        <v>102</v>
      </c>
      <c r="G20" s="3" t="s">
        <v>18</v>
      </c>
      <c r="H20" s="2" t="s">
        <v>19</v>
      </c>
      <c r="I20" s="4"/>
      <c r="J20" s="2" t="s">
        <v>89</v>
      </c>
      <c r="K20" s="5"/>
      <c r="L20" s="2" t="s">
        <v>23</v>
      </c>
    </row>
    <row r="21" ht="22.5" customHeight="1">
      <c r="A21" s="2" t="s">
        <v>103</v>
      </c>
      <c r="B21" s="2" t="s">
        <v>104</v>
      </c>
      <c r="C21" s="2" t="s">
        <v>87</v>
      </c>
      <c r="D21" s="3" t="s">
        <v>75</v>
      </c>
      <c r="E21" s="2" t="s">
        <v>88</v>
      </c>
      <c r="F21" s="2" t="s">
        <v>104</v>
      </c>
      <c r="G21" s="3" t="s">
        <v>18</v>
      </c>
      <c r="H21" s="2" t="s">
        <v>19</v>
      </c>
      <c r="I21" s="4"/>
      <c r="J21" s="2" t="s">
        <v>97</v>
      </c>
      <c r="K21" s="5"/>
      <c r="L21" s="2" t="s">
        <v>23</v>
      </c>
    </row>
    <row r="22" ht="22.5" customHeight="1">
      <c r="A22" s="2" t="s">
        <v>105</v>
      </c>
      <c r="B22" s="2" t="s">
        <v>106</v>
      </c>
      <c r="C22" s="2" t="s">
        <v>107</v>
      </c>
      <c r="D22" s="3" t="s">
        <v>108</v>
      </c>
      <c r="E22" s="2" t="s">
        <v>88</v>
      </c>
      <c r="F22" s="2" t="s">
        <v>109</v>
      </c>
      <c r="G22" s="3" t="s">
        <v>18</v>
      </c>
      <c r="H22" s="2" t="s">
        <v>19</v>
      </c>
      <c r="I22" s="4"/>
      <c r="J22" s="2" t="s">
        <v>110</v>
      </c>
      <c r="K22" s="2" t="s">
        <v>111</v>
      </c>
      <c r="L22" s="2" t="s">
        <v>23</v>
      </c>
    </row>
    <row r="23" ht="22.5" customHeight="1">
      <c r="A23" s="2" t="s">
        <v>112</v>
      </c>
      <c r="B23" s="2" t="s">
        <v>113</v>
      </c>
      <c r="C23" s="2" t="s">
        <v>107</v>
      </c>
      <c r="D23" s="3" t="s">
        <v>108</v>
      </c>
      <c r="E23" s="2" t="s">
        <v>114</v>
      </c>
      <c r="F23" s="2" t="s">
        <v>115</v>
      </c>
      <c r="G23" s="3" t="s">
        <v>18</v>
      </c>
      <c r="H23" s="2" t="s">
        <v>19</v>
      </c>
      <c r="I23" s="4"/>
      <c r="J23" s="2" t="s">
        <v>116</v>
      </c>
      <c r="K23" s="2" t="s">
        <v>117</v>
      </c>
      <c r="L23" s="2" t="s">
        <v>23</v>
      </c>
    </row>
    <row r="24" ht="22.5" customHeight="1">
      <c r="A24" s="2" t="s">
        <v>118</v>
      </c>
      <c r="B24" s="2" t="s">
        <v>119</v>
      </c>
      <c r="C24" s="2" t="s">
        <v>107</v>
      </c>
      <c r="D24" s="3" t="s">
        <v>108</v>
      </c>
      <c r="E24" s="2" t="s">
        <v>120</v>
      </c>
      <c r="F24" s="2" t="s">
        <v>121</v>
      </c>
      <c r="G24" s="3" t="s">
        <v>39</v>
      </c>
      <c r="H24" s="2" t="s">
        <v>19</v>
      </c>
      <c r="I24" s="4"/>
      <c r="J24" s="2" t="s">
        <v>122</v>
      </c>
      <c r="K24" s="2" t="s">
        <v>123</v>
      </c>
      <c r="L24" s="2" t="s">
        <v>23</v>
      </c>
    </row>
    <row r="25" ht="22.5" customHeight="1">
      <c r="A25" s="2" t="s">
        <v>124</v>
      </c>
      <c r="B25" s="2" t="s">
        <v>125</v>
      </c>
      <c r="C25" s="2" t="s">
        <v>107</v>
      </c>
      <c r="D25" s="3" t="s">
        <v>108</v>
      </c>
      <c r="E25" s="2" t="s">
        <v>88</v>
      </c>
      <c r="F25" s="2" t="s">
        <v>126</v>
      </c>
      <c r="G25" s="3" t="s">
        <v>18</v>
      </c>
      <c r="H25" s="2" t="s">
        <v>19</v>
      </c>
      <c r="I25" s="4"/>
      <c r="J25" s="2" t="s">
        <v>110</v>
      </c>
      <c r="K25" s="2" t="s">
        <v>127</v>
      </c>
      <c r="L25" s="2" t="s">
        <v>23</v>
      </c>
    </row>
    <row r="26" ht="22.5" customHeight="1">
      <c r="A26" s="2" t="s">
        <v>128</v>
      </c>
      <c r="B26" s="2" t="s">
        <v>129</v>
      </c>
      <c r="C26" s="2" t="s">
        <v>107</v>
      </c>
      <c r="D26" s="3" t="s">
        <v>108</v>
      </c>
      <c r="E26" s="2" t="s">
        <v>88</v>
      </c>
      <c r="F26" s="2" t="s">
        <v>130</v>
      </c>
      <c r="G26" s="3" t="s">
        <v>18</v>
      </c>
      <c r="H26" s="2" t="s">
        <v>19</v>
      </c>
      <c r="I26" s="4"/>
      <c r="J26" s="2" t="s">
        <v>122</v>
      </c>
      <c r="K26" s="2" t="s">
        <v>131</v>
      </c>
      <c r="L26" s="2" t="s">
        <v>23</v>
      </c>
    </row>
    <row r="27" ht="22.5" customHeight="1">
      <c r="A27" s="2" t="s">
        <v>132</v>
      </c>
      <c r="B27" s="2" t="s">
        <v>133</v>
      </c>
      <c r="C27" s="2" t="s">
        <v>107</v>
      </c>
      <c r="D27" s="3" t="s">
        <v>108</v>
      </c>
      <c r="E27" s="2" t="s">
        <v>88</v>
      </c>
      <c r="F27" s="2" t="s">
        <v>134</v>
      </c>
      <c r="G27" s="3" t="s">
        <v>18</v>
      </c>
      <c r="H27" s="2" t="s">
        <v>19</v>
      </c>
      <c r="I27" s="4"/>
      <c r="J27" s="2" t="s">
        <v>110</v>
      </c>
      <c r="K27" s="2" t="s">
        <v>135</v>
      </c>
      <c r="L27" s="2" t="s">
        <v>23</v>
      </c>
    </row>
    <row r="28" ht="22.5" customHeight="1">
      <c r="A28" s="2" t="s">
        <v>136</v>
      </c>
      <c r="B28" s="2" t="s">
        <v>137</v>
      </c>
      <c r="C28" s="2" t="s">
        <v>107</v>
      </c>
      <c r="D28" s="3" t="s">
        <v>108</v>
      </c>
      <c r="E28" s="2" t="s">
        <v>114</v>
      </c>
      <c r="F28" s="2" t="s">
        <v>138</v>
      </c>
      <c r="G28" s="3" t="s">
        <v>18</v>
      </c>
      <c r="H28" s="2" t="s">
        <v>19</v>
      </c>
      <c r="I28" s="4" t="s">
        <v>20</v>
      </c>
      <c r="J28" s="2" t="s">
        <v>110</v>
      </c>
      <c r="K28" s="2" t="s">
        <v>139</v>
      </c>
      <c r="L28" s="2" t="s">
        <v>23</v>
      </c>
    </row>
    <row r="29" ht="22.5" customHeight="1">
      <c r="A29" s="2" t="s">
        <v>140</v>
      </c>
      <c r="B29" s="2" t="s">
        <v>141</v>
      </c>
      <c r="C29" s="2" t="s">
        <v>107</v>
      </c>
      <c r="D29" s="3" t="s">
        <v>108</v>
      </c>
      <c r="E29" s="2" t="s">
        <v>120</v>
      </c>
      <c r="F29" s="2" t="s">
        <v>142</v>
      </c>
      <c r="G29" s="3" t="s">
        <v>18</v>
      </c>
      <c r="H29" s="2" t="s">
        <v>19</v>
      </c>
      <c r="I29" s="4" t="s">
        <v>20</v>
      </c>
      <c r="J29" s="2" t="s">
        <v>143</v>
      </c>
      <c r="K29" s="2" t="s">
        <v>144</v>
      </c>
      <c r="L29" s="2" t="s">
        <v>23</v>
      </c>
    </row>
    <row r="30" ht="22.5" customHeight="1">
      <c r="A30" s="2" t="s">
        <v>145</v>
      </c>
      <c r="B30" s="2" t="s">
        <v>146</v>
      </c>
      <c r="C30" s="2" t="s">
        <v>107</v>
      </c>
      <c r="D30" s="3" t="s">
        <v>108</v>
      </c>
      <c r="E30" s="2" t="s">
        <v>120</v>
      </c>
      <c r="F30" s="2" t="s">
        <v>147</v>
      </c>
      <c r="G30" s="3" t="s">
        <v>18</v>
      </c>
      <c r="H30" s="2" t="s">
        <v>19</v>
      </c>
      <c r="I30" s="4" t="s">
        <v>20</v>
      </c>
      <c r="J30" s="2" t="s">
        <v>148</v>
      </c>
      <c r="K30" s="2" t="s">
        <v>149</v>
      </c>
      <c r="L30" s="2" t="s">
        <v>23</v>
      </c>
    </row>
    <row r="31" ht="22.5" customHeight="1">
      <c r="A31" s="2" t="s">
        <v>150</v>
      </c>
      <c r="B31" s="2" t="s">
        <v>151</v>
      </c>
      <c r="C31" s="2" t="s">
        <v>107</v>
      </c>
      <c r="D31" s="3" t="s">
        <v>108</v>
      </c>
      <c r="E31" s="2" t="s">
        <v>120</v>
      </c>
      <c r="F31" s="2" t="s">
        <v>152</v>
      </c>
      <c r="G31" s="3" t="s">
        <v>18</v>
      </c>
      <c r="H31" s="2" t="s">
        <v>19</v>
      </c>
      <c r="I31" s="4" t="s">
        <v>20</v>
      </c>
      <c r="J31" s="2" t="s">
        <v>110</v>
      </c>
      <c r="K31" s="2" t="s">
        <v>153</v>
      </c>
      <c r="L31" s="2" t="s">
        <v>23</v>
      </c>
    </row>
    <row r="32" ht="22.5" customHeight="1">
      <c r="A32" s="2" t="s">
        <v>154</v>
      </c>
      <c r="B32" s="2" t="s">
        <v>155</v>
      </c>
      <c r="C32" s="2" t="s">
        <v>107</v>
      </c>
      <c r="D32" s="3" t="s">
        <v>156</v>
      </c>
      <c r="E32" s="2" t="s">
        <v>120</v>
      </c>
      <c r="F32" s="2" t="s">
        <v>157</v>
      </c>
      <c r="G32" s="3" t="s">
        <v>18</v>
      </c>
      <c r="H32" s="2" t="s">
        <v>19</v>
      </c>
      <c r="I32" s="4" t="s">
        <v>20</v>
      </c>
      <c r="J32" s="2" t="s">
        <v>158</v>
      </c>
      <c r="K32" s="2" t="s">
        <v>159</v>
      </c>
      <c r="L32" s="2" t="s">
        <v>160</v>
      </c>
    </row>
    <row r="33" ht="22.5" customHeight="1">
      <c r="A33" s="2" t="s">
        <v>161</v>
      </c>
      <c r="B33" s="2" t="s">
        <v>162</v>
      </c>
      <c r="C33" s="2" t="s">
        <v>107</v>
      </c>
      <c r="D33" s="3" t="s">
        <v>156</v>
      </c>
      <c r="E33" s="2" t="s">
        <v>120</v>
      </c>
      <c r="F33" s="2" t="s">
        <v>163</v>
      </c>
      <c r="G33" s="3" t="s">
        <v>18</v>
      </c>
      <c r="H33" s="2" t="s">
        <v>19</v>
      </c>
      <c r="I33" s="4" t="s">
        <v>20</v>
      </c>
      <c r="J33" s="2" t="s">
        <v>158</v>
      </c>
      <c r="K33" s="2" t="s">
        <v>164</v>
      </c>
      <c r="L33" s="2" t="s">
        <v>160</v>
      </c>
    </row>
    <row r="34" ht="22.5" customHeight="1">
      <c r="A34" s="2" t="s">
        <v>165</v>
      </c>
      <c r="B34" s="2" t="s">
        <v>166</v>
      </c>
      <c r="C34" s="2" t="s">
        <v>107</v>
      </c>
      <c r="D34" s="3" t="s">
        <v>167</v>
      </c>
      <c r="E34" s="2" t="s">
        <v>120</v>
      </c>
      <c r="F34" s="2" t="s">
        <v>168</v>
      </c>
      <c r="G34" s="3" t="s">
        <v>18</v>
      </c>
      <c r="H34" s="2" t="s">
        <v>19</v>
      </c>
      <c r="I34" s="4" t="s">
        <v>20</v>
      </c>
      <c r="J34" s="2" t="s">
        <v>143</v>
      </c>
      <c r="K34" s="6" t="s">
        <v>169</v>
      </c>
      <c r="L34" s="2" t="s">
        <v>170</v>
      </c>
    </row>
    <row r="35" ht="22.5" customHeight="1">
      <c r="A35" s="2" t="s">
        <v>171</v>
      </c>
      <c r="B35" s="2" t="s">
        <v>172</v>
      </c>
      <c r="C35" s="2" t="s">
        <v>107</v>
      </c>
      <c r="D35" s="3" t="s">
        <v>173</v>
      </c>
      <c r="E35" s="2" t="s">
        <v>114</v>
      </c>
      <c r="F35" s="2" t="s">
        <v>174</v>
      </c>
      <c r="G35" s="3" t="s">
        <v>18</v>
      </c>
      <c r="H35" s="2" t="s">
        <v>19</v>
      </c>
      <c r="I35" s="4" t="s">
        <v>20</v>
      </c>
      <c r="J35" s="2" t="s">
        <v>175</v>
      </c>
      <c r="K35" s="6" t="s">
        <v>176</v>
      </c>
      <c r="L35" s="2" t="s">
        <v>170</v>
      </c>
    </row>
    <row r="36" ht="22.5" customHeight="1">
      <c r="A36" s="2" t="s">
        <v>177</v>
      </c>
      <c r="B36" s="2" t="s">
        <v>178</v>
      </c>
      <c r="C36" s="2" t="s">
        <v>107</v>
      </c>
      <c r="D36" s="3" t="s">
        <v>173</v>
      </c>
      <c r="E36" s="2" t="s">
        <v>120</v>
      </c>
      <c r="F36" s="2" t="s">
        <v>179</v>
      </c>
      <c r="G36" s="3" t="s">
        <v>18</v>
      </c>
      <c r="H36" s="2" t="s">
        <v>19</v>
      </c>
      <c r="I36" s="4" t="s">
        <v>20</v>
      </c>
      <c r="J36" s="2" t="s">
        <v>180</v>
      </c>
      <c r="K36" s="6" t="s">
        <v>181</v>
      </c>
      <c r="L36" s="2" t="s">
        <v>182</v>
      </c>
    </row>
    <row r="37" ht="22.5" customHeight="1">
      <c r="A37" s="2" t="s">
        <v>183</v>
      </c>
      <c r="B37" s="2" t="s">
        <v>184</v>
      </c>
      <c r="C37" s="2" t="s">
        <v>107</v>
      </c>
      <c r="D37" s="3" t="s">
        <v>156</v>
      </c>
      <c r="E37" s="2" t="s">
        <v>185</v>
      </c>
      <c r="F37" s="2" t="s">
        <v>186</v>
      </c>
      <c r="G37" s="3" t="s">
        <v>18</v>
      </c>
      <c r="H37" s="2" t="s">
        <v>19</v>
      </c>
      <c r="I37" s="4" t="s">
        <v>20</v>
      </c>
      <c r="J37" s="2" t="s">
        <v>187</v>
      </c>
      <c r="K37" s="6" t="s">
        <v>188</v>
      </c>
      <c r="L37" s="2" t="s">
        <v>189</v>
      </c>
    </row>
    <row r="38" ht="22.5" customHeight="1">
      <c r="A38" s="2" t="s">
        <v>190</v>
      </c>
      <c r="B38" s="2" t="s">
        <v>191</v>
      </c>
      <c r="C38" s="2" t="s">
        <v>192</v>
      </c>
      <c r="D38" s="3" t="s">
        <v>193</v>
      </c>
      <c r="E38" s="2" t="s">
        <v>120</v>
      </c>
      <c r="F38" s="2" t="s">
        <v>191</v>
      </c>
      <c r="G38" s="3" t="s">
        <v>39</v>
      </c>
      <c r="H38" s="2" t="s">
        <v>19</v>
      </c>
      <c r="I38" s="4"/>
      <c r="J38" s="2" t="s">
        <v>194</v>
      </c>
      <c r="K38" s="5"/>
      <c r="L38" s="2" t="s">
        <v>23</v>
      </c>
    </row>
    <row r="39" ht="22.5" customHeight="1">
      <c r="A39" s="2" t="s">
        <v>195</v>
      </c>
      <c r="B39" s="2" t="s">
        <v>196</v>
      </c>
      <c r="C39" s="2" t="s">
        <v>192</v>
      </c>
      <c r="D39" s="3" t="s">
        <v>193</v>
      </c>
      <c r="E39" s="2" t="s">
        <v>120</v>
      </c>
      <c r="F39" s="2" t="s">
        <v>196</v>
      </c>
      <c r="G39" s="3" t="s">
        <v>18</v>
      </c>
      <c r="H39" s="2" t="s">
        <v>19</v>
      </c>
      <c r="I39" s="4"/>
      <c r="J39" s="2" t="s">
        <v>194</v>
      </c>
      <c r="K39" s="5"/>
      <c r="L39" s="2" t="s">
        <v>23</v>
      </c>
    </row>
    <row r="40" ht="22.5" customHeight="1">
      <c r="A40" s="2" t="s">
        <v>197</v>
      </c>
      <c r="B40" s="2" t="s">
        <v>198</v>
      </c>
      <c r="C40" s="2" t="s">
        <v>192</v>
      </c>
      <c r="D40" s="3" t="s">
        <v>193</v>
      </c>
      <c r="E40" s="2" t="s">
        <v>120</v>
      </c>
      <c r="F40" s="2" t="s">
        <v>198</v>
      </c>
      <c r="G40" s="3" t="s">
        <v>18</v>
      </c>
      <c r="H40" s="2" t="s">
        <v>19</v>
      </c>
      <c r="I40" s="4"/>
      <c r="J40" s="2" t="s">
        <v>199</v>
      </c>
      <c r="K40" s="5"/>
      <c r="L40" s="2" t="s">
        <v>23</v>
      </c>
    </row>
    <row r="41" ht="22.5" customHeight="1">
      <c r="A41" s="2" t="s">
        <v>200</v>
      </c>
      <c r="B41" s="2" t="s">
        <v>201</v>
      </c>
      <c r="C41" s="2" t="s">
        <v>192</v>
      </c>
      <c r="D41" s="3" t="s">
        <v>193</v>
      </c>
      <c r="E41" s="2" t="s">
        <v>120</v>
      </c>
      <c r="F41" s="2" t="s">
        <v>201</v>
      </c>
      <c r="G41" s="3" t="s">
        <v>18</v>
      </c>
      <c r="H41" s="2" t="s">
        <v>19</v>
      </c>
      <c r="I41" s="4"/>
      <c r="J41" s="2" t="s">
        <v>202</v>
      </c>
      <c r="K41" s="5"/>
      <c r="L41" s="2" t="s">
        <v>23</v>
      </c>
    </row>
    <row r="42" ht="22.5" customHeight="1">
      <c r="A42" s="2" t="s">
        <v>203</v>
      </c>
      <c r="B42" s="2" t="s">
        <v>204</v>
      </c>
      <c r="C42" s="2" t="s">
        <v>192</v>
      </c>
      <c r="D42" s="3" t="s">
        <v>193</v>
      </c>
      <c r="E42" s="2" t="s">
        <v>114</v>
      </c>
      <c r="F42" s="2" t="s">
        <v>204</v>
      </c>
      <c r="G42" s="3" t="s">
        <v>18</v>
      </c>
      <c r="H42" s="2" t="s">
        <v>19</v>
      </c>
      <c r="I42" s="4"/>
      <c r="J42" s="2" t="s">
        <v>202</v>
      </c>
      <c r="K42" s="5"/>
      <c r="L42" s="2" t="s">
        <v>23</v>
      </c>
    </row>
    <row r="43" ht="22.5" customHeight="1">
      <c r="A43" s="2" t="s">
        <v>205</v>
      </c>
      <c r="B43" s="2" t="s">
        <v>206</v>
      </c>
      <c r="C43" s="2" t="s">
        <v>192</v>
      </c>
      <c r="D43" s="3" t="s">
        <v>193</v>
      </c>
      <c r="E43" s="2" t="s">
        <v>207</v>
      </c>
      <c r="F43" s="2" t="s">
        <v>206</v>
      </c>
      <c r="G43" s="3" t="s">
        <v>18</v>
      </c>
      <c r="H43" s="2" t="s">
        <v>19</v>
      </c>
      <c r="I43" s="4"/>
      <c r="J43" s="2" t="s">
        <v>202</v>
      </c>
      <c r="K43" s="5"/>
      <c r="L43" s="2" t="s">
        <v>23</v>
      </c>
    </row>
    <row r="44" ht="22.5" customHeight="1">
      <c r="A44" s="2" t="s">
        <v>208</v>
      </c>
      <c r="B44" s="2" t="s">
        <v>209</v>
      </c>
      <c r="C44" s="2" t="s">
        <v>192</v>
      </c>
      <c r="D44" s="3" t="s">
        <v>193</v>
      </c>
      <c r="E44" s="2" t="s">
        <v>114</v>
      </c>
      <c r="F44" s="2" t="s">
        <v>210</v>
      </c>
      <c r="G44" s="3" t="s">
        <v>18</v>
      </c>
      <c r="H44" s="2" t="s">
        <v>19</v>
      </c>
      <c r="I44" s="4" t="s">
        <v>20</v>
      </c>
      <c r="J44" s="2" t="s">
        <v>211</v>
      </c>
      <c r="K44" s="6" t="s">
        <v>212</v>
      </c>
      <c r="L44" s="2" t="s">
        <v>23</v>
      </c>
    </row>
    <row r="45" ht="22.5" customHeight="1">
      <c r="A45" s="2" t="s">
        <v>213</v>
      </c>
      <c r="B45" s="2" t="s">
        <v>214</v>
      </c>
      <c r="C45" s="2" t="s">
        <v>192</v>
      </c>
      <c r="D45" s="3" t="s">
        <v>193</v>
      </c>
      <c r="E45" s="2" t="s">
        <v>120</v>
      </c>
      <c r="F45" s="2" t="s">
        <v>215</v>
      </c>
      <c r="G45" s="3" t="s">
        <v>18</v>
      </c>
      <c r="H45" s="2" t="s">
        <v>19</v>
      </c>
      <c r="I45" s="4" t="s">
        <v>20</v>
      </c>
      <c r="J45" s="2" t="s">
        <v>216</v>
      </c>
      <c r="K45" s="6" t="s">
        <v>217</v>
      </c>
      <c r="L45" s="2" t="s">
        <v>23</v>
      </c>
    </row>
    <row r="46" ht="22.5" customHeight="1">
      <c r="A46" s="7" t="s">
        <v>218</v>
      </c>
      <c r="B46" s="7" t="s">
        <v>219</v>
      </c>
      <c r="C46" s="7" t="s">
        <v>192</v>
      </c>
      <c r="D46" s="8" t="s">
        <v>220</v>
      </c>
      <c r="E46" s="7" t="s">
        <v>221</v>
      </c>
      <c r="F46" s="7" t="s">
        <v>222</v>
      </c>
      <c r="G46" s="8" t="s">
        <v>18</v>
      </c>
      <c r="H46" s="7" t="s">
        <v>19</v>
      </c>
      <c r="I46" s="8" t="s">
        <v>20</v>
      </c>
      <c r="J46" s="7" t="s">
        <v>223</v>
      </c>
      <c r="K46" s="9" t="s">
        <v>224</v>
      </c>
      <c r="L46" s="7" t="s">
        <v>23</v>
      </c>
    </row>
    <row r="47" ht="22.5" customHeight="1">
      <c r="A47" s="7" t="s">
        <v>225</v>
      </c>
      <c r="B47" s="7" t="s">
        <v>226</v>
      </c>
      <c r="C47" s="7" t="s">
        <v>192</v>
      </c>
      <c r="D47" s="8" t="s">
        <v>220</v>
      </c>
      <c r="E47" s="7" t="s">
        <v>120</v>
      </c>
      <c r="F47" s="7" t="s">
        <v>227</v>
      </c>
      <c r="G47" s="8" t="s">
        <v>18</v>
      </c>
      <c r="H47" s="7" t="s">
        <v>19</v>
      </c>
      <c r="I47" s="8" t="s">
        <v>20</v>
      </c>
      <c r="J47" s="7" t="s">
        <v>228</v>
      </c>
      <c r="K47" s="9" t="s">
        <v>229</v>
      </c>
      <c r="L47" s="7" t="s">
        <v>23</v>
      </c>
    </row>
    <row r="48" ht="22.5" customHeight="1">
      <c r="A48" s="7" t="s">
        <v>230</v>
      </c>
      <c r="B48" s="7" t="s">
        <v>231</v>
      </c>
      <c r="C48" s="7" t="s">
        <v>192</v>
      </c>
      <c r="D48" s="8" t="s">
        <v>220</v>
      </c>
      <c r="E48" s="7" t="s">
        <v>114</v>
      </c>
      <c r="F48" s="7" t="s">
        <v>232</v>
      </c>
      <c r="G48" s="8" t="s">
        <v>18</v>
      </c>
      <c r="H48" s="7" t="s">
        <v>19</v>
      </c>
      <c r="I48" s="8" t="s">
        <v>20</v>
      </c>
      <c r="J48" s="7" t="s">
        <v>233</v>
      </c>
      <c r="K48" s="9" t="s">
        <v>234</v>
      </c>
      <c r="L48" s="7" t="s">
        <v>23</v>
      </c>
    </row>
    <row r="49" ht="22.5" customHeight="1">
      <c r="A49" s="7" t="s">
        <v>235</v>
      </c>
      <c r="B49" s="7" t="s">
        <v>236</v>
      </c>
      <c r="C49" s="7" t="s">
        <v>192</v>
      </c>
      <c r="D49" s="8" t="s">
        <v>220</v>
      </c>
      <c r="E49" s="7" t="s">
        <v>114</v>
      </c>
      <c r="F49" s="7" t="s">
        <v>237</v>
      </c>
      <c r="G49" s="8" t="s">
        <v>39</v>
      </c>
      <c r="H49" s="7" t="s">
        <v>19</v>
      </c>
      <c r="I49" s="8" t="s">
        <v>20</v>
      </c>
      <c r="J49" s="7" t="s">
        <v>238</v>
      </c>
      <c r="K49" s="9" t="s">
        <v>239</v>
      </c>
      <c r="L49" s="7" t="s">
        <v>240</v>
      </c>
    </row>
    <row r="50" ht="22.5" customHeight="1">
      <c r="A50" s="2" t="s">
        <v>241</v>
      </c>
      <c r="B50" s="2" t="s">
        <v>242</v>
      </c>
      <c r="C50" s="2" t="s">
        <v>192</v>
      </c>
      <c r="D50" s="3" t="s">
        <v>243</v>
      </c>
      <c r="E50" s="2" t="s">
        <v>114</v>
      </c>
      <c r="F50" s="2" t="s">
        <v>244</v>
      </c>
      <c r="G50" s="3" t="s">
        <v>18</v>
      </c>
      <c r="H50" s="2" t="s">
        <v>19</v>
      </c>
      <c r="I50" s="4" t="s">
        <v>20</v>
      </c>
      <c r="J50" s="2" t="s">
        <v>245</v>
      </c>
      <c r="K50" s="6" t="s">
        <v>246</v>
      </c>
      <c r="L50" s="2" t="s">
        <v>23</v>
      </c>
    </row>
    <row r="51" ht="22.5" customHeight="1">
      <c r="A51" s="2" t="s">
        <v>247</v>
      </c>
      <c r="B51" s="2" t="s">
        <v>248</v>
      </c>
      <c r="C51" s="2" t="s">
        <v>249</v>
      </c>
      <c r="D51" s="3" t="s">
        <v>250</v>
      </c>
      <c r="E51" s="2" t="s">
        <v>114</v>
      </c>
      <c r="F51" s="2" t="s">
        <v>251</v>
      </c>
      <c r="G51" s="3" t="s">
        <v>18</v>
      </c>
      <c r="H51" s="2" t="s">
        <v>19</v>
      </c>
      <c r="I51" s="4" t="s">
        <v>20</v>
      </c>
      <c r="J51" s="2" t="s">
        <v>252</v>
      </c>
      <c r="K51" s="6" t="s">
        <v>253</v>
      </c>
      <c r="L51" s="2" t="s">
        <v>23</v>
      </c>
    </row>
    <row r="52" ht="22.5" customHeight="1">
      <c r="A52" s="2" t="s">
        <v>254</v>
      </c>
      <c r="B52" s="2" t="s">
        <v>255</v>
      </c>
      <c r="C52" s="2" t="s">
        <v>249</v>
      </c>
      <c r="D52" s="3" t="s">
        <v>250</v>
      </c>
      <c r="E52" s="2" t="s">
        <v>256</v>
      </c>
      <c r="F52" s="2" t="s">
        <v>257</v>
      </c>
      <c r="G52" s="3" t="s">
        <v>18</v>
      </c>
      <c r="H52" s="2" t="s">
        <v>19</v>
      </c>
      <c r="I52" s="4" t="s">
        <v>20</v>
      </c>
      <c r="J52" s="2" t="s">
        <v>258</v>
      </c>
      <c r="K52" s="6" t="s">
        <v>259</v>
      </c>
      <c r="L52" s="2" t="s">
        <v>23</v>
      </c>
    </row>
    <row r="53" ht="22.5" customHeight="1">
      <c r="A53" s="2" t="s">
        <v>260</v>
      </c>
      <c r="B53" s="2" t="s">
        <v>261</v>
      </c>
      <c r="C53" s="2" t="s">
        <v>249</v>
      </c>
      <c r="D53" s="3" t="s">
        <v>250</v>
      </c>
      <c r="E53" s="2" t="s">
        <v>114</v>
      </c>
      <c r="F53" s="2" t="s">
        <v>262</v>
      </c>
      <c r="G53" s="3" t="s">
        <v>18</v>
      </c>
      <c r="H53" s="2" t="s">
        <v>19</v>
      </c>
      <c r="I53" s="4" t="s">
        <v>20</v>
      </c>
      <c r="J53" s="2" t="s">
        <v>263</v>
      </c>
      <c r="K53" s="6" t="s">
        <v>264</v>
      </c>
      <c r="L53" s="2" t="s">
        <v>23</v>
      </c>
    </row>
    <row r="54" ht="22.5" customHeight="1">
      <c r="A54" s="2" t="s">
        <v>265</v>
      </c>
      <c r="B54" s="2" t="s">
        <v>266</v>
      </c>
      <c r="C54" s="2" t="s">
        <v>249</v>
      </c>
      <c r="D54" s="3" t="s">
        <v>250</v>
      </c>
      <c r="E54" s="2" t="s">
        <v>120</v>
      </c>
      <c r="F54" s="2" t="s">
        <v>267</v>
      </c>
      <c r="G54" s="3" t="s">
        <v>18</v>
      </c>
      <c r="H54" s="2" t="s">
        <v>19</v>
      </c>
      <c r="I54" s="4" t="s">
        <v>20</v>
      </c>
      <c r="J54" s="2" t="s">
        <v>263</v>
      </c>
      <c r="K54" s="6" t="s">
        <v>268</v>
      </c>
      <c r="L54" s="2" t="s">
        <v>23</v>
      </c>
    </row>
    <row r="55" ht="22.5" customHeight="1">
      <c r="A55" s="2" t="s">
        <v>269</v>
      </c>
      <c r="B55" s="2" t="s">
        <v>270</v>
      </c>
      <c r="C55" s="2" t="s">
        <v>249</v>
      </c>
      <c r="D55" s="3" t="s">
        <v>250</v>
      </c>
      <c r="E55" s="2" t="s">
        <v>271</v>
      </c>
      <c r="F55" s="2" t="s">
        <v>272</v>
      </c>
      <c r="G55" s="3" t="s">
        <v>39</v>
      </c>
      <c r="H55" s="2" t="s">
        <v>19</v>
      </c>
      <c r="I55" s="4" t="s">
        <v>20</v>
      </c>
      <c r="J55" s="2" t="s">
        <v>273</v>
      </c>
      <c r="K55" s="6" t="s">
        <v>274</v>
      </c>
      <c r="L55" s="2" t="s">
        <v>23</v>
      </c>
    </row>
    <row r="56" ht="22.5" customHeight="1">
      <c r="A56" s="2" t="s">
        <v>275</v>
      </c>
      <c r="B56" s="2" t="s">
        <v>276</v>
      </c>
      <c r="C56" s="2" t="s">
        <v>249</v>
      </c>
      <c r="D56" s="3" t="s">
        <v>250</v>
      </c>
      <c r="E56" s="2" t="s">
        <v>88</v>
      </c>
      <c r="F56" s="2" t="s">
        <v>277</v>
      </c>
      <c r="G56" s="3" t="s">
        <v>18</v>
      </c>
      <c r="H56" s="2" t="s">
        <v>19</v>
      </c>
      <c r="I56" s="4" t="s">
        <v>20</v>
      </c>
      <c r="J56" s="2" t="s">
        <v>278</v>
      </c>
      <c r="K56" s="2" t="s">
        <v>279</v>
      </c>
      <c r="L56" s="2" t="s">
        <v>23</v>
      </c>
    </row>
    <row r="57" ht="22.5" customHeight="1">
      <c r="A57" s="2" t="s">
        <v>280</v>
      </c>
      <c r="B57" s="2" t="s">
        <v>281</v>
      </c>
      <c r="C57" s="2" t="s">
        <v>249</v>
      </c>
      <c r="D57" s="3" t="s">
        <v>282</v>
      </c>
      <c r="E57" s="2" t="s">
        <v>185</v>
      </c>
      <c r="F57" s="2" t="s">
        <v>283</v>
      </c>
      <c r="G57" s="3" t="s">
        <v>18</v>
      </c>
      <c r="H57" s="2" t="s">
        <v>19</v>
      </c>
      <c r="I57" s="4" t="s">
        <v>20</v>
      </c>
      <c r="J57" s="2" t="s">
        <v>284</v>
      </c>
      <c r="K57" s="2" t="s">
        <v>285</v>
      </c>
      <c r="L57" s="2" t="s">
        <v>286</v>
      </c>
    </row>
    <row r="58" ht="22.5" customHeight="1">
      <c r="A58" s="2" t="s">
        <v>287</v>
      </c>
      <c r="B58" s="2" t="s">
        <v>288</v>
      </c>
      <c r="C58" s="2" t="s">
        <v>249</v>
      </c>
      <c r="D58" s="3" t="s">
        <v>282</v>
      </c>
      <c r="E58" s="2" t="s">
        <v>114</v>
      </c>
      <c r="F58" s="2" t="s">
        <v>289</v>
      </c>
      <c r="G58" s="3" t="s">
        <v>18</v>
      </c>
      <c r="H58" s="2" t="s">
        <v>19</v>
      </c>
      <c r="I58" s="4" t="s">
        <v>20</v>
      </c>
      <c r="J58" s="2" t="s">
        <v>290</v>
      </c>
      <c r="K58" s="2" t="s">
        <v>291</v>
      </c>
      <c r="L58" s="2" t="s">
        <v>23</v>
      </c>
    </row>
    <row r="59" ht="22.5" customHeight="1">
      <c r="A59" s="2" t="s">
        <v>292</v>
      </c>
      <c r="B59" s="2" t="s">
        <v>293</v>
      </c>
      <c r="C59" s="2" t="s">
        <v>249</v>
      </c>
      <c r="D59" s="3" t="s">
        <v>282</v>
      </c>
      <c r="E59" s="2" t="s">
        <v>256</v>
      </c>
      <c r="F59" s="2" t="s">
        <v>294</v>
      </c>
      <c r="G59" s="3" t="s">
        <v>39</v>
      </c>
      <c r="H59" s="2" t="s">
        <v>19</v>
      </c>
      <c r="I59" s="4" t="s">
        <v>20</v>
      </c>
      <c r="J59" s="2" t="s">
        <v>284</v>
      </c>
      <c r="K59" s="2" t="s">
        <v>295</v>
      </c>
      <c r="L59" s="2" t="s">
        <v>296</v>
      </c>
    </row>
    <row r="60" ht="22.5" customHeight="1">
      <c r="A60" s="2" t="s">
        <v>297</v>
      </c>
      <c r="B60" s="2" t="s">
        <v>298</v>
      </c>
      <c r="C60" s="2" t="s">
        <v>249</v>
      </c>
      <c r="D60" s="3" t="s">
        <v>299</v>
      </c>
      <c r="E60" s="2" t="s">
        <v>256</v>
      </c>
      <c r="F60" s="2" t="s">
        <v>300</v>
      </c>
      <c r="G60" s="3" t="s">
        <v>39</v>
      </c>
      <c r="H60" s="2" t="s">
        <v>19</v>
      </c>
      <c r="I60" s="4" t="s">
        <v>20</v>
      </c>
      <c r="J60" s="2" t="s">
        <v>301</v>
      </c>
      <c r="K60" s="2" t="s">
        <v>302</v>
      </c>
      <c r="L60" s="2" t="s">
        <v>303</v>
      </c>
    </row>
    <row r="61" ht="22.5" customHeight="1">
      <c r="A61" s="6" t="s">
        <v>304</v>
      </c>
      <c r="B61" s="6" t="s">
        <v>305</v>
      </c>
      <c r="C61" s="6" t="s">
        <v>306</v>
      </c>
      <c r="D61" s="4" t="s">
        <v>307</v>
      </c>
      <c r="E61" s="6" t="s">
        <v>256</v>
      </c>
      <c r="F61" s="6" t="s">
        <v>308</v>
      </c>
      <c r="G61" s="4" t="s">
        <v>18</v>
      </c>
      <c r="H61" s="6" t="s">
        <v>19</v>
      </c>
      <c r="I61" s="4" t="s">
        <v>20</v>
      </c>
      <c r="J61" s="6" t="s">
        <v>309</v>
      </c>
      <c r="K61" s="6" t="s">
        <v>310</v>
      </c>
      <c r="L61" s="6" t="s">
        <v>23</v>
      </c>
    </row>
    <row r="62" ht="22.5" customHeight="1">
      <c r="A62" s="6" t="s">
        <v>311</v>
      </c>
      <c r="B62" s="6" t="s">
        <v>312</v>
      </c>
      <c r="C62" s="6" t="s">
        <v>306</v>
      </c>
      <c r="D62" s="4" t="s">
        <v>307</v>
      </c>
      <c r="E62" s="6" t="s">
        <v>256</v>
      </c>
      <c r="F62" s="6" t="s">
        <v>313</v>
      </c>
      <c r="G62" s="4" t="s">
        <v>39</v>
      </c>
      <c r="H62" s="6" t="s">
        <v>19</v>
      </c>
      <c r="I62" s="4" t="s">
        <v>20</v>
      </c>
      <c r="J62" s="6" t="s">
        <v>314</v>
      </c>
      <c r="K62" s="6" t="s">
        <v>315</v>
      </c>
      <c r="L62" s="6" t="s">
        <v>23</v>
      </c>
    </row>
    <row r="63" ht="22.5" customHeight="1">
      <c r="A63" s="6" t="s">
        <v>316</v>
      </c>
      <c r="B63" s="6" t="s">
        <v>317</v>
      </c>
      <c r="C63" s="6" t="s">
        <v>306</v>
      </c>
      <c r="D63" s="4" t="s">
        <v>307</v>
      </c>
      <c r="E63" s="6" t="s">
        <v>114</v>
      </c>
      <c r="F63" s="6" t="s">
        <v>318</v>
      </c>
      <c r="G63" s="4" t="s">
        <v>51</v>
      </c>
      <c r="H63" s="6" t="s">
        <v>19</v>
      </c>
      <c r="I63" s="4" t="s">
        <v>20</v>
      </c>
      <c r="J63" s="6" t="s">
        <v>314</v>
      </c>
      <c r="K63" s="6" t="s">
        <v>319</v>
      </c>
      <c r="L63" s="6" t="s">
        <v>23</v>
      </c>
    </row>
    <row r="64" ht="22.5" customHeight="1">
      <c r="A64" s="6" t="s">
        <v>320</v>
      </c>
      <c r="B64" s="6" t="s">
        <v>321</v>
      </c>
      <c r="C64" s="6" t="s">
        <v>306</v>
      </c>
      <c r="D64" s="4" t="s">
        <v>307</v>
      </c>
      <c r="E64" s="6" t="s">
        <v>120</v>
      </c>
      <c r="F64" s="6" t="s">
        <v>322</v>
      </c>
      <c r="G64" s="4" t="s">
        <v>39</v>
      </c>
      <c r="H64" s="6" t="s">
        <v>19</v>
      </c>
      <c r="I64" s="4" t="s">
        <v>20</v>
      </c>
      <c r="J64" s="6" t="s">
        <v>323</v>
      </c>
      <c r="K64" s="6" t="s">
        <v>324</v>
      </c>
      <c r="L64" s="6" t="s">
        <v>23</v>
      </c>
    </row>
    <row r="65" ht="22.5" customHeight="1">
      <c r="A65" s="10" t="s">
        <v>325</v>
      </c>
      <c r="B65" s="11" t="s">
        <v>326</v>
      </c>
      <c r="C65" s="2" t="s">
        <v>306</v>
      </c>
      <c r="D65" s="3" t="s">
        <v>327</v>
      </c>
      <c r="E65" s="12" t="s">
        <v>256</v>
      </c>
      <c r="F65" s="2" t="s">
        <v>328</v>
      </c>
      <c r="G65" s="3" t="s">
        <v>51</v>
      </c>
      <c r="H65" s="2" t="s">
        <v>19</v>
      </c>
      <c r="I65" s="4" t="s">
        <v>20</v>
      </c>
      <c r="J65" s="2" t="s">
        <v>329</v>
      </c>
      <c r="K65" s="6" t="s">
        <v>330</v>
      </c>
      <c r="L65" s="2" t="s">
        <v>51</v>
      </c>
    </row>
    <row r="66" ht="22.5" customHeight="1">
      <c r="A66" s="10" t="s">
        <v>331</v>
      </c>
      <c r="B66" s="11" t="s">
        <v>332</v>
      </c>
      <c r="C66" s="2" t="s">
        <v>333</v>
      </c>
      <c r="D66" s="3" t="s">
        <v>334</v>
      </c>
      <c r="E66" s="11" t="s">
        <v>256</v>
      </c>
      <c r="F66" s="2" t="s">
        <v>335</v>
      </c>
      <c r="G66" s="3" t="s">
        <v>39</v>
      </c>
      <c r="H66" s="2" t="s">
        <v>19</v>
      </c>
      <c r="I66" s="4" t="s">
        <v>20</v>
      </c>
      <c r="J66" s="2" t="s">
        <v>336</v>
      </c>
      <c r="K66" s="6" t="s">
        <v>337</v>
      </c>
      <c r="L66" s="2" t="s">
        <v>338</v>
      </c>
    </row>
    <row r="67" ht="22.5" customHeight="1">
      <c r="A67" s="10" t="s">
        <v>339</v>
      </c>
      <c r="B67" s="11" t="s">
        <v>340</v>
      </c>
      <c r="C67" s="13" t="s">
        <v>333</v>
      </c>
      <c r="D67" s="14" t="s">
        <v>341</v>
      </c>
      <c r="E67" s="11" t="s">
        <v>120</v>
      </c>
      <c r="F67" s="13" t="s">
        <v>342</v>
      </c>
      <c r="G67" s="14" t="s">
        <v>39</v>
      </c>
      <c r="H67" s="13" t="s">
        <v>19</v>
      </c>
      <c r="I67" s="15" t="s">
        <v>20</v>
      </c>
      <c r="J67" s="13" t="s">
        <v>343</v>
      </c>
      <c r="K67" s="16" t="s">
        <v>344</v>
      </c>
      <c r="L67" s="13" t="s">
        <v>338</v>
      </c>
    </row>
    <row r="68" ht="22.5" customHeight="1">
      <c r="A68" s="10" t="s">
        <v>345</v>
      </c>
      <c r="B68" s="11" t="s">
        <v>346</v>
      </c>
      <c r="C68" s="13" t="s">
        <v>333</v>
      </c>
      <c r="D68" s="14" t="s">
        <v>347</v>
      </c>
      <c r="E68" s="11" t="s">
        <v>185</v>
      </c>
      <c r="F68" s="13" t="s">
        <v>348</v>
      </c>
      <c r="G68" s="14" t="s">
        <v>39</v>
      </c>
      <c r="H68" s="13" t="s">
        <v>19</v>
      </c>
      <c r="I68" s="15" t="s">
        <v>20</v>
      </c>
      <c r="J68" s="13" t="s">
        <v>349</v>
      </c>
      <c r="K68" s="16" t="s">
        <v>350</v>
      </c>
      <c r="L68" s="13" t="s">
        <v>338</v>
      </c>
    </row>
    <row r="69" ht="22.5" customHeight="1">
      <c r="A69" s="10" t="s">
        <v>351</v>
      </c>
      <c r="B69" s="11" t="s">
        <v>352</v>
      </c>
      <c r="C69" s="13" t="s">
        <v>333</v>
      </c>
      <c r="D69" s="14" t="s">
        <v>341</v>
      </c>
      <c r="E69" s="11" t="s">
        <v>88</v>
      </c>
      <c r="F69" s="13" t="s">
        <v>353</v>
      </c>
      <c r="G69" s="14" t="s">
        <v>39</v>
      </c>
      <c r="H69" s="13" t="s">
        <v>19</v>
      </c>
      <c r="I69" s="15" t="s">
        <v>20</v>
      </c>
      <c r="J69" s="13" t="s">
        <v>354</v>
      </c>
      <c r="K69" s="16" t="s">
        <v>355</v>
      </c>
      <c r="L69" s="13" t="s">
        <v>338</v>
      </c>
    </row>
    <row r="70" ht="22.5" customHeight="1">
      <c r="A70" s="10" t="s">
        <v>356</v>
      </c>
      <c r="B70" s="17" t="s">
        <v>357</v>
      </c>
      <c r="C70" s="13" t="s">
        <v>56</v>
      </c>
      <c r="D70" s="14" t="s">
        <v>57</v>
      </c>
      <c r="E70" s="17" t="s">
        <v>358</v>
      </c>
      <c r="F70" s="13" t="s">
        <v>359</v>
      </c>
      <c r="G70" s="14" t="s">
        <v>18</v>
      </c>
      <c r="H70" s="13" t="s">
        <v>19</v>
      </c>
      <c r="I70" s="15" t="s">
        <v>20</v>
      </c>
      <c r="J70" s="13" t="s">
        <v>71</v>
      </c>
      <c r="K70" s="16" t="s">
        <v>20</v>
      </c>
      <c r="L70" s="13" t="s">
        <v>23</v>
      </c>
    </row>
    <row r="71" ht="22.5" customHeight="1">
      <c r="A71" s="6" t="s">
        <v>360</v>
      </c>
      <c r="B71" s="6" t="s">
        <v>361</v>
      </c>
      <c r="C71" s="6" t="s">
        <v>362</v>
      </c>
      <c r="D71" s="4" t="s">
        <v>363</v>
      </c>
      <c r="E71" s="6" t="s">
        <v>364</v>
      </c>
      <c r="F71" s="6" t="s">
        <v>365</v>
      </c>
      <c r="G71" s="4" t="s">
        <v>18</v>
      </c>
      <c r="H71" s="6" t="s">
        <v>19</v>
      </c>
      <c r="I71" s="4" t="s">
        <v>20</v>
      </c>
      <c r="J71" s="6" t="s">
        <v>366</v>
      </c>
      <c r="K71" s="6" t="s">
        <v>20</v>
      </c>
      <c r="L71" s="6" t="s">
        <v>23</v>
      </c>
    </row>
    <row r="72" ht="22.5" customHeight="1">
      <c r="A72" s="6" t="s">
        <v>367</v>
      </c>
      <c r="B72" s="6" t="s">
        <v>368</v>
      </c>
      <c r="C72" s="6" t="s">
        <v>362</v>
      </c>
      <c r="D72" s="4" t="s">
        <v>363</v>
      </c>
      <c r="E72" s="6" t="s">
        <v>256</v>
      </c>
      <c r="F72" s="6" t="s">
        <v>369</v>
      </c>
      <c r="G72" s="4" t="s">
        <v>18</v>
      </c>
      <c r="H72" s="6" t="s">
        <v>19</v>
      </c>
      <c r="I72" s="4" t="s">
        <v>20</v>
      </c>
      <c r="J72" s="6" t="s">
        <v>366</v>
      </c>
      <c r="K72" s="6" t="s">
        <v>20</v>
      </c>
      <c r="L72" s="6" t="s">
        <v>23</v>
      </c>
    </row>
    <row r="73" ht="22.5" customHeight="1">
      <c r="A73" s="6" t="s">
        <v>370</v>
      </c>
      <c r="B73" s="6" t="s">
        <v>371</v>
      </c>
      <c r="C73" s="6" t="s">
        <v>372</v>
      </c>
      <c r="D73" s="4" t="s">
        <v>373</v>
      </c>
      <c r="E73" s="6" t="s">
        <v>256</v>
      </c>
      <c r="F73" s="6" t="s">
        <v>374</v>
      </c>
      <c r="G73" s="4" t="s">
        <v>18</v>
      </c>
      <c r="H73" s="6" t="s">
        <v>19</v>
      </c>
      <c r="I73" s="4" t="s">
        <v>20</v>
      </c>
      <c r="J73" s="6" t="s">
        <v>375</v>
      </c>
      <c r="K73" s="6" t="s">
        <v>376</v>
      </c>
      <c r="L73" s="6" t="s">
        <v>23</v>
      </c>
    </row>
    <row r="74" ht="22.5" customHeight="1">
      <c r="A74" s="6" t="s">
        <v>377</v>
      </c>
      <c r="B74" s="6" t="s">
        <v>378</v>
      </c>
      <c r="C74" s="6" t="s">
        <v>372</v>
      </c>
      <c r="D74" s="4" t="s">
        <v>373</v>
      </c>
      <c r="E74" s="6" t="s">
        <v>256</v>
      </c>
      <c r="F74" s="6" t="s">
        <v>379</v>
      </c>
      <c r="G74" s="4" t="s">
        <v>18</v>
      </c>
      <c r="H74" s="6" t="s">
        <v>19</v>
      </c>
      <c r="I74" s="4" t="s">
        <v>20</v>
      </c>
      <c r="J74" s="6" t="s">
        <v>375</v>
      </c>
      <c r="K74" s="6" t="s">
        <v>380</v>
      </c>
      <c r="L74" s="6" t="s">
        <v>23</v>
      </c>
    </row>
    <row r="75" ht="22.5" customHeight="1">
      <c r="A75" s="6" t="s">
        <v>381</v>
      </c>
      <c r="B75" s="6" t="s">
        <v>382</v>
      </c>
      <c r="C75" s="6" t="s">
        <v>372</v>
      </c>
      <c r="D75" s="4" t="s">
        <v>373</v>
      </c>
      <c r="E75" s="6" t="s">
        <v>256</v>
      </c>
      <c r="F75" s="6" t="s">
        <v>383</v>
      </c>
      <c r="G75" s="4" t="s">
        <v>51</v>
      </c>
      <c r="H75" s="6" t="s">
        <v>19</v>
      </c>
      <c r="I75" s="4" t="s">
        <v>20</v>
      </c>
      <c r="J75" s="6" t="s">
        <v>384</v>
      </c>
      <c r="K75" s="6" t="s">
        <v>385</v>
      </c>
      <c r="L75" s="6" t="s">
        <v>386</v>
      </c>
    </row>
    <row r="76" ht="22.5" customHeight="1">
      <c r="A76" s="2" t="s">
        <v>387</v>
      </c>
      <c r="B76" s="2" t="s">
        <v>388</v>
      </c>
      <c r="C76" s="2" t="s">
        <v>389</v>
      </c>
      <c r="D76" s="3" t="s">
        <v>390</v>
      </c>
      <c r="E76" s="2" t="s">
        <v>391</v>
      </c>
      <c r="F76" s="2" t="s">
        <v>392</v>
      </c>
      <c r="G76" s="3" t="s">
        <v>51</v>
      </c>
      <c r="H76" s="2" t="s">
        <v>19</v>
      </c>
      <c r="I76" s="4"/>
      <c r="J76" s="2" t="s">
        <v>393</v>
      </c>
      <c r="K76" s="2" t="s">
        <v>394</v>
      </c>
      <c r="L76" s="2" t="s">
        <v>395</v>
      </c>
    </row>
    <row r="77" ht="22.5" customHeight="1">
      <c r="A77" s="2" t="s">
        <v>396</v>
      </c>
      <c r="B77" s="2" t="s">
        <v>397</v>
      </c>
      <c r="C77" s="2" t="s">
        <v>398</v>
      </c>
      <c r="D77" s="3" t="s">
        <v>15</v>
      </c>
      <c r="E77" s="2" t="s">
        <v>88</v>
      </c>
      <c r="F77" s="2" t="s">
        <v>399</v>
      </c>
      <c r="G77" s="3" t="s">
        <v>18</v>
      </c>
      <c r="H77" s="2" t="s">
        <v>19</v>
      </c>
      <c r="I77" s="4"/>
      <c r="J77" s="2" t="s">
        <v>400</v>
      </c>
      <c r="K77" s="2" t="s">
        <v>401</v>
      </c>
      <c r="L77" s="2" t="s">
        <v>23</v>
      </c>
    </row>
    <row r="78" ht="22.5" customHeight="1">
      <c r="A78" s="2" t="s">
        <v>402</v>
      </c>
      <c r="B78" s="2" t="s">
        <v>403</v>
      </c>
      <c r="C78" s="2" t="s">
        <v>398</v>
      </c>
      <c r="D78" s="3" t="s">
        <v>404</v>
      </c>
      <c r="E78" s="2" t="s">
        <v>88</v>
      </c>
      <c r="F78" s="2" t="s">
        <v>405</v>
      </c>
      <c r="G78" s="3" t="s">
        <v>39</v>
      </c>
      <c r="H78" s="2" t="s">
        <v>19</v>
      </c>
      <c r="I78" s="4"/>
      <c r="J78" s="2" t="s">
        <v>406</v>
      </c>
      <c r="K78" s="2" t="s">
        <v>407</v>
      </c>
      <c r="L78" s="2" t="s">
        <v>408</v>
      </c>
    </row>
    <row r="79" ht="22.5" customHeight="1">
      <c r="A79" s="2" t="s">
        <v>409</v>
      </c>
      <c r="B79" s="2" t="s">
        <v>410</v>
      </c>
      <c r="C79" s="2" t="s">
        <v>398</v>
      </c>
      <c r="D79" s="3" t="s">
        <v>15</v>
      </c>
      <c r="E79" s="2" t="s">
        <v>411</v>
      </c>
      <c r="F79" s="2" t="s">
        <v>412</v>
      </c>
      <c r="G79" s="3" t="s">
        <v>39</v>
      </c>
      <c r="H79" s="2" t="s">
        <v>19</v>
      </c>
      <c r="I79" s="4"/>
      <c r="J79" s="2" t="s">
        <v>413</v>
      </c>
      <c r="K79" s="2" t="s">
        <v>414</v>
      </c>
      <c r="L79" s="2" t="s">
        <v>23</v>
      </c>
    </row>
    <row r="80" ht="22.5" customHeight="1">
      <c r="A80" s="2" t="s">
        <v>415</v>
      </c>
      <c r="B80" s="2" t="s">
        <v>416</v>
      </c>
      <c r="C80" s="2" t="s">
        <v>417</v>
      </c>
      <c r="D80" s="4" t="s">
        <v>418</v>
      </c>
      <c r="E80" s="2" t="s">
        <v>114</v>
      </c>
      <c r="F80" s="2" t="s">
        <v>419</v>
      </c>
      <c r="G80" s="4" t="s">
        <v>39</v>
      </c>
      <c r="H80" s="2" t="s">
        <v>19</v>
      </c>
      <c r="I80" s="4"/>
      <c r="J80" s="2" t="s">
        <v>420</v>
      </c>
      <c r="K80" s="2" t="s">
        <v>421</v>
      </c>
      <c r="L80" s="2" t="s">
        <v>422</v>
      </c>
    </row>
    <row r="81" ht="22.5" customHeight="1">
      <c r="A81" s="2" t="s">
        <v>423</v>
      </c>
      <c r="B81" s="2" t="s">
        <v>424</v>
      </c>
      <c r="C81" s="2" t="s">
        <v>417</v>
      </c>
      <c r="D81" s="4" t="s">
        <v>418</v>
      </c>
      <c r="E81" s="2" t="s">
        <v>425</v>
      </c>
      <c r="F81" s="2" t="s">
        <v>426</v>
      </c>
      <c r="G81" s="4" t="s">
        <v>39</v>
      </c>
      <c r="H81" s="2" t="s">
        <v>19</v>
      </c>
      <c r="I81" s="4"/>
      <c r="J81" s="2" t="s">
        <v>427</v>
      </c>
      <c r="K81" s="2" t="s">
        <v>428</v>
      </c>
      <c r="L81" s="2" t="s">
        <v>429</v>
      </c>
    </row>
    <row r="82" ht="22.5" customHeight="1">
      <c r="A82" s="2" t="s">
        <v>430</v>
      </c>
      <c r="B82" s="2" t="s">
        <v>431</v>
      </c>
      <c r="C82" s="2" t="s">
        <v>417</v>
      </c>
      <c r="D82" s="4" t="s">
        <v>418</v>
      </c>
      <c r="E82" s="2" t="s">
        <v>432</v>
      </c>
      <c r="F82" s="2" t="s">
        <v>433</v>
      </c>
      <c r="G82" s="4" t="s">
        <v>39</v>
      </c>
      <c r="H82" s="2" t="s">
        <v>19</v>
      </c>
      <c r="I82" s="4"/>
      <c r="J82" s="2" t="s">
        <v>434</v>
      </c>
      <c r="K82" s="2" t="s">
        <v>435</v>
      </c>
      <c r="L82" s="2" t="s">
        <v>422</v>
      </c>
    </row>
    <row r="83" ht="22.5" customHeight="1">
      <c r="A83" s="18" t="s">
        <v>436</v>
      </c>
      <c r="B83" s="18" t="s">
        <v>437</v>
      </c>
      <c r="C83" s="18" t="s">
        <v>107</v>
      </c>
      <c r="D83" s="19" t="s">
        <v>438</v>
      </c>
      <c r="E83" s="18" t="s">
        <v>120</v>
      </c>
      <c r="F83" s="18" t="s">
        <v>439</v>
      </c>
      <c r="G83" s="19" t="s">
        <v>18</v>
      </c>
      <c r="H83" s="18" t="s">
        <v>19</v>
      </c>
      <c r="I83" s="19" t="s">
        <v>20</v>
      </c>
      <c r="J83" s="18" t="s">
        <v>440</v>
      </c>
      <c r="K83" s="20" t="s">
        <v>441</v>
      </c>
      <c r="L83" s="18" t="s">
        <v>23</v>
      </c>
    </row>
    <row r="84" ht="22.5" customHeight="1">
      <c r="A84" s="18" t="s">
        <v>442</v>
      </c>
      <c r="B84" s="18" t="s">
        <v>443</v>
      </c>
      <c r="C84" s="18" t="s">
        <v>107</v>
      </c>
      <c r="D84" s="19" t="s">
        <v>444</v>
      </c>
      <c r="E84" s="18" t="s">
        <v>120</v>
      </c>
      <c r="F84" s="18" t="s">
        <v>445</v>
      </c>
      <c r="G84" s="19" t="s">
        <v>18</v>
      </c>
      <c r="H84" s="18" t="s">
        <v>19</v>
      </c>
      <c r="I84" s="19" t="s">
        <v>20</v>
      </c>
      <c r="J84" s="18" t="s">
        <v>446</v>
      </c>
      <c r="K84" s="20" t="s">
        <v>447</v>
      </c>
      <c r="L84" s="18" t="s">
        <v>23</v>
      </c>
    </row>
    <row r="85" ht="22.5" customHeight="1">
      <c r="A85" s="18" t="s">
        <v>448</v>
      </c>
      <c r="B85" s="18" t="s">
        <v>449</v>
      </c>
      <c r="C85" s="18" t="s">
        <v>107</v>
      </c>
      <c r="D85" s="19" t="s">
        <v>450</v>
      </c>
      <c r="E85" s="18" t="s">
        <v>185</v>
      </c>
      <c r="F85" s="18" t="s">
        <v>451</v>
      </c>
      <c r="G85" s="19" t="s">
        <v>18</v>
      </c>
      <c r="H85" s="18" t="s">
        <v>19</v>
      </c>
      <c r="I85" s="19" t="s">
        <v>20</v>
      </c>
      <c r="J85" s="18" t="s">
        <v>452</v>
      </c>
      <c r="K85" s="20" t="s">
        <v>453</v>
      </c>
      <c r="L85" s="18" t="s">
        <v>23</v>
      </c>
    </row>
    <row r="86" ht="22.5" customHeight="1">
      <c r="A86" s="18" t="s">
        <v>454</v>
      </c>
      <c r="B86" s="18" t="s">
        <v>455</v>
      </c>
      <c r="C86" s="18" t="s">
        <v>107</v>
      </c>
      <c r="D86" s="19" t="s">
        <v>450</v>
      </c>
      <c r="E86" s="18" t="s">
        <v>185</v>
      </c>
      <c r="F86" s="18" t="s">
        <v>456</v>
      </c>
      <c r="G86" s="19" t="s">
        <v>18</v>
      </c>
      <c r="H86" s="18" t="s">
        <v>19</v>
      </c>
      <c r="I86" s="19" t="s">
        <v>20</v>
      </c>
      <c r="J86" s="18" t="s">
        <v>457</v>
      </c>
      <c r="K86" s="20" t="s">
        <v>458</v>
      </c>
      <c r="L86" s="18" t="s">
        <v>23</v>
      </c>
    </row>
    <row r="87" ht="22.5" customHeight="1">
      <c r="A87" s="18" t="s">
        <v>459</v>
      </c>
      <c r="B87" s="18" t="s">
        <v>460</v>
      </c>
      <c r="C87" s="18" t="s">
        <v>107</v>
      </c>
      <c r="D87" s="19" t="s">
        <v>461</v>
      </c>
      <c r="E87" s="18" t="s">
        <v>120</v>
      </c>
      <c r="F87" s="18" t="s">
        <v>462</v>
      </c>
      <c r="G87" s="19" t="s">
        <v>18</v>
      </c>
      <c r="H87" s="18" t="s">
        <v>19</v>
      </c>
      <c r="I87" s="19" t="s">
        <v>20</v>
      </c>
      <c r="J87" s="18" t="s">
        <v>463</v>
      </c>
      <c r="K87" s="20" t="s">
        <v>464</v>
      </c>
      <c r="L87" s="18" t="s">
        <v>23</v>
      </c>
    </row>
    <row r="88" ht="22.5" customHeight="1">
      <c r="A88" s="18" t="s">
        <v>465</v>
      </c>
      <c r="B88" s="18" t="s">
        <v>466</v>
      </c>
      <c r="C88" s="18" t="s">
        <v>107</v>
      </c>
      <c r="D88" s="19" t="s">
        <v>467</v>
      </c>
      <c r="E88" s="18" t="s">
        <v>185</v>
      </c>
      <c r="F88" s="18" t="s">
        <v>468</v>
      </c>
      <c r="G88" s="19" t="s">
        <v>18</v>
      </c>
      <c r="H88" s="18" t="s">
        <v>19</v>
      </c>
      <c r="I88" s="19" t="s">
        <v>20</v>
      </c>
      <c r="J88" s="18" t="s">
        <v>469</v>
      </c>
      <c r="K88" s="20" t="s">
        <v>470</v>
      </c>
      <c r="L88" s="18" t="s">
        <v>23</v>
      </c>
    </row>
    <row r="89" ht="22.5" customHeight="1">
      <c r="A89" s="18" t="s">
        <v>471</v>
      </c>
      <c r="B89" s="18" t="s">
        <v>472</v>
      </c>
      <c r="C89" s="18" t="s">
        <v>107</v>
      </c>
      <c r="D89" s="19" t="s">
        <v>461</v>
      </c>
      <c r="E89" s="18" t="s">
        <v>185</v>
      </c>
      <c r="F89" s="18" t="s">
        <v>473</v>
      </c>
      <c r="G89" s="19" t="s">
        <v>18</v>
      </c>
      <c r="H89" s="18" t="s">
        <v>19</v>
      </c>
      <c r="I89" s="19" t="s">
        <v>20</v>
      </c>
      <c r="J89" s="18" t="s">
        <v>474</v>
      </c>
      <c r="K89" s="20" t="s">
        <v>475</v>
      </c>
      <c r="L89" s="18" t="s">
        <v>23</v>
      </c>
    </row>
    <row r="90" ht="22.5" customHeight="1">
      <c r="A90" s="18" t="s">
        <v>476</v>
      </c>
      <c r="B90" s="18" t="s">
        <v>477</v>
      </c>
      <c r="C90" s="18" t="s">
        <v>107</v>
      </c>
      <c r="D90" s="19" t="s">
        <v>478</v>
      </c>
      <c r="E90" s="18" t="s">
        <v>120</v>
      </c>
      <c r="F90" s="18" t="s">
        <v>479</v>
      </c>
      <c r="G90" s="19" t="s">
        <v>18</v>
      </c>
      <c r="H90" s="18" t="s">
        <v>19</v>
      </c>
      <c r="I90" s="19" t="s">
        <v>20</v>
      </c>
      <c r="J90" s="18" t="s">
        <v>480</v>
      </c>
      <c r="K90" s="20" t="s">
        <v>481</v>
      </c>
      <c r="L90" s="18" t="s">
        <v>23</v>
      </c>
    </row>
    <row r="91" ht="22.5" customHeight="1">
      <c r="A91" s="18" t="s">
        <v>482</v>
      </c>
      <c r="B91" s="18" t="s">
        <v>483</v>
      </c>
      <c r="C91" s="18" t="s">
        <v>484</v>
      </c>
      <c r="D91" s="19" t="s">
        <v>485</v>
      </c>
      <c r="E91" s="18" t="s">
        <v>114</v>
      </c>
      <c r="F91" s="18" t="s">
        <v>486</v>
      </c>
      <c r="G91" s="19" t="s">
        <v>18</v>
      </c>
      <c r="H91" s="18" t="s">
        <v>19</v>
      </c>
      <c r="I91" s="19" t="s">
        <v>20</v>
      </c>
      <c r="J91" s="18" t="s">
        <v>487</v>
      </c>
      <c r="K91" s="20" t="s">
        <v>488</v>
      </c>
      <c r="L91" s="18" t="s">
        <v>23</v>
      </c>
    </row>
    <row r="92" ht="22.5" customHeight="1">
      <c r="A92" s="18" t="s">
        <v>489</v>
      </c>
      <c r="B92" s="18" t="s">
        <v>490</v>
      </c>
      <c r="C92" s="18" t="s">
        <v>333</v>
      </c>
      <c r="D92" s="19" t="s">
        <v>491</v>
      </c>
      <c r="E92" s="18" t="s">
        <v>185</v>
      </c>
      <c r="F92" s="18" t="s">
        <v>492</v>
      </c>
      <c r="G92" s="19" t="s">
        <v>51</v>
      </c>
      <c r="H92" s="18" t="s">
        <v>19</v>
      </c>
      <c r="I92" s="19" t="s">
        <v>20</v>
      </c>
      <c r="J92" s="18" t="s">
        <v>493</v>
      </c>
      <c r="K92" s="20" t="s">
        <v>494</v>
      </c>
      <c r="L92" s="18" t="s">
        <v>495</v>
      </c>
    </row>
    <row r="93">
      <c r="A93" s="21" t="s">
        <v>20</v>
      </c>
      <c r="B93" s="21" t="s">
        <v>20</v>
      </c>
      <c r="C93" s="21" t="s">
        <v>20</v>
      </c>
      <c r="D93" s="21" t="s">
        <v>20</v>
      </c>
      <c r="E93" s="21" t="s">
        <v>20</v>
      </c>
      <c r="F93" s="21" t="s">
        <v>20</v>
      </c>
      <c r="G93" s="21" t="s">
        <v>20</v>
      </c>
      <c r="H93" s="21" t="s">
        <v>20</v>
      </c>
      <c r="I93" s="21" t="s">
        <v>20</v>
      </c>
      <c r="J93" s="21" t="s">
        <v>20</v>
      </c>
      <c r="K93" s="21" t="s">
        <v>20</v>
      </c>
      <c r="L93" s="21" t="s">
        <v>20</v>
      </c>
    </row>
    <row r="94">
      <c r="A94" s="22"/>
      <c r="B94" s="22"/>
      <c r="C94" s="22"/>
      <c r="D94" s="22"/>
      <c r="E94" s="22"/>
      <c r="F94" s="22"/>
      <c r="G94" s="22"/>
      <c r="H94" s="22"/>
      <c r="I94" s="22"/>
      <c r="J94" s="22"/>
      <c r="K94" s="22"/>
      <c r="L94" s="22"/>
    </row>
    <row r="95">
      <c r="A95" s="22"/>
      <c r="B95" s="22"/>
      <c r="C95" s="22"/>
      <c r="D95" s="22"/>
      <c r="E95" s="22"/>
      <c r="F95" s="22"/>
      <c r="G95" s="22"/>
      <c r="H95" s="22"/>
      <c r="I95" s="22"/>
      <c r="J95" s="22"/>
      <c r="K95" s="22"/>
      <c r="L95" s="22"/>
    </row>
    <row r="96">
      <c r="A96" s="22"/>
      <c r="B96" s="22"/>
      <c r="C96" s="22"/>
      <c r="D96" s="22"/>
      <c r="E96" s="22"/>
      <c r="F96" s="22"/>
      <c r="G96" s="22"/>
      <c r="H96" s="22"/>
      <c r="I96" s="22"/>
      <c r="J96" s="22"/>
      <c r="K96" s="22"/>
      <c r="L96" s="22"/>
    </row>
    <row r="97">
      <c r="A97" s="22"/>
      <c r="B97" s="22"/>
      <c r="C97" s="22"/>
      <c r="D97" s="22"/>
      <c r="E97" s="22"/>
      <c r="F97" s="22"/>
      <c r="G97" s="22"/>
      <c r="H97" s="22"/>
      <c r="I97" s="22"/>
      <c r="J97" s="22"/>
      <c r="K97" s="22"/>
      <c r="L97" s="22"/>
    </row>
    <row r="98">
      <c r="A98" s="22"/>
      <c r="B98" s="22"/>
      <c r="C98" s="22"/>
      <c r="D98" s="22"/>
      <c r="E98" s="22"/>
      <c r="F98" s="22"/>
      <c r="G98" s="22"/>
      <c r="H98" s="22"/>
      <c r="I98" s="22"/>
      <c r="J98" s="22"/>
      <c r="K98" s="22"/>
      <c r="L98" s="22"/>
    </row>
    <row r="99">
      <c r="A99" s="22"/>
      <c r="B99" s="22"/>
      <c r="C99" s="22"/>
      <c r="D99" s="22"/>
      <c r="E99" s="22"/>
      <c r="F99" s="22"/>
      <c r="G99" s="22"/>
      <c r="H99" s="22"/>
      <c r="I99" s="22"/>
      <c r="J99" s="22"/>
      <c r="K99" s="22"/>
      <c r="L99" s="22"/>
    </row>
    <row r="100">
      <c r="A100" s="22"/>
      <c r="B100" s="22"/>
      <c r="C100" s="22"/>
      <c r="D100" s="22"/>
      <c r="E100" s="22"/>
      <c r="F100" s="22"/>
      <c r="G100" s="22"/>
      <c r="H100" s="22"/>
      <c r="I100" s="22"/>
      <c r="J100" s="22"/>
      <c r="K100" s="22"/>
      <c r="L100" s="22"/>
    </row>
    <row r="101">
      <c r="A101" s="22"/>
      <c r="B101" s="22"/>
      <c r="C101" s="22"/>
      <c r="D101" s="22"/>
      <c r="E101" s="22"/>
      <c r="F101" s="22"/>
      <c r="G101" s="22"/>
      <c r="H101" s="22"/>
      <c r="I101" s="22"/>
      <c r="J101" s="22"/>
      <c r="K101" s="22"/>
      <c r="L101" s="22"/>
    </row>
    <row r="102">
      <c r="A102" s="22"/>
      <c r="B102" s="22"/>
      <c r="C102" s="22"/>
      <c r="D102" s="22"/>
      <c r="E102" s="22"/>
      <c r="F102" s="22"/>
      <c r="G102" s="22"/>
      <c r="H102" s="22"/>
      <c r="I102" s="22"/>
      <c r="J102" s="22"/>
      <c r="K102" s="22"/>
      <c r="L102" s="22"/>
    </row>
    <row r="103">
      <c r="A103" s="22"/>
      <c r="B103" s="22"/>
      <c r="C103" s="22"/>
      <c r="D103" s="22"/>
      <c r="E103" s="22"/>
      <c r="F103" s="22"/>
      <c r="G103" s="22"/>
      <c r="H103" s="22"/>
      <c r="I103" s="22"/>
      <c r="J103" s="22"/>
      <c r="K103" s="22"/>
      <c r="L103" s="22"/>
    </row>
    <row r="104">
      <c r="A104" s="22"/>
      <c r="B104" s="22"/>
      <c r="C104" s="22"/>
      <c r="D104" s="22"/>
      <c r="E104" s="22"/>
      <c r="F104" s="22"/>
      <c r="G104" s="22"/>
      <c r="H104" s="22"/>
      <c r="I104" s="22"/>
      <c r="J104" s="22"/>
      <c r="K104" s="22"/>
      <c r="L104" s="22"/>
    </row>
    <row r="105">
      <c r="A105" s="22"/>
      <c r="B105" s="22"/>
      <c r="C105" s="22"/>
      <c r="D105" s="22"/>
      <c r="E105" s="22"/>
      <c r="F105" s="22"/>
      <c r="G105" s="22"/>
      <c r="H105" s="22"/>
      <c r="I105" s="22"/>
      <c r="J105" s="22"/>
      <c r="K105" s="22"/>
      <c r="L105" s="22"/>
    </row>
    <row r="106">
      <c r="A106" s="22"/>
      <c r="B106" s="22"/>
      <c r="C106" s="22"/>
      <c r="D106" s="22"/>
      <c r="E106" s="22"/>
      <c r="F106" s="22"/>
      <c r="G106" s="22"/>
      <c r="H106" s="22"/>
      <c r="I106" s="22"/>
      <c r="J106" s="22"/>
      <c r="K106" s="22"/>
      <c r="L106" s="22"/>
    </row>
    <row r="107">
      <c r="A107" s="22"/>
      <c r="B107" s="22"/>
      <c r="C107" s="22"/>
      <c r="D107" s="22"/>
      <c r="E107" s="22"/>
      <c r="F107" s="22"/>
      <c r="G107" s="22"/>
      <c r="H107" s="22"/>
      <c r="I107" s="22"/>
      <c r="J107" s="22"/>
      <c r="K107" s="22"/>
      <c r="L107" s="22"/>
    </row>
    <row r="108">
      <c r="A108" s="22"/>
      <c r="B108" s="22"/>
      <c r="C108" s="22"/>
      <c r="D108" s="22"/>
      <c r="E108" s="22"/>
      <c r="F108" s="22"/>
      <c r="G108" s="22"/>
      <c r="H108" s="22"/>
      <c r="I108" s="22"/>
      <c r="J108" s="22"/>
      <c r="K108" s="22"/>
      <c r="L108" s="22"/>
    </row>
    <row r="109">
      <c r="A109" s="22"/>
      <c r="B109" s="22"/>
      <c r="C109" s="22"/>
      <c r="D109" s="22"/>
      <c r="E109" s="22"/>
      <c r="F109" s="22"/>
      <c r="G109" s="22"/>
      <c r="H109" s="22"/>
      <c r="I109" s="22"/>
      <c r="J109" s="22"/>
      <c r="K109" s="22"/>
      <c r="L109" s="22"/>
    </row>
    <row r="110">
      <c r="A110" s="22"/>
      <c r="B110" s="22"/>
      <c r="C110" s="22"/>
      <c r="D110" s="22"/>
      <c r="E110" s="22"/>
      <c r="F110" s="22"/>
      <c r="G110" s="22"/>
      <c r="H110" s="22"/>
      <c r="I110" s="22"/>
      <c r="J110" s="22"/>
      <c r="K110" s="22"/>
      <c r="L110" s="22"/>
    </row>
    <row r="111">
      <c r="A111" s="22"/>
      <c r="B111" s="22"/>
      <c r="C111" s="22"/>
      <c r="D111" s="22"/>
      <c r="E111" s="22"/>
      <c r="F111" s="22"/>
      <c r="G111" s="22"/>
      <c r="H111" s="22"/>
      <c r="I111" s="22"/>
      <c r="J111" s="22"/>
      <c r="K111" s="22"/>
      <c r="L111" s="22"/>
    </row>
    <row r="112">
      <c r="A112" s="22"/>
      <c r="B112" s="22"/>
      <c r="C112" s="22"/>
      <c r="D112" s="22"/>
      <c r="E112" s="22"/>
      <c r="F112" s="22"/>
      <c r="G112" s="22"/>
      <c r="H112" s="22"/>
      <c r="I112" s="22"/>
      <c r="J112" s="22"/>
      <c r="K112" s="22"/>
      <c r="L112" s="22"/>
    </row>
    <row r="113">
      <c r="A113" s="22"/>
      <c r="B113" s="22"/>
      <c r="C113" s="22"/>
      <c r="D113" s="22"/>
      <c r="E113" s="22"/>
      <c r="F113" s="22"/>
      <c r="G113" s="22"/>
      <c r="H113" s="22"/>
      <c r="I113" s="22"/>
      <c r="J113" s="22"/>
      <c r="K113" s="22"/>
      <c r="L113" s="22"/>
    </row>
    <row r="114">
      <c r="A114" s="22"/>
      <c r="B114" s="22"/>
      <c r="C114" s="22"/>
      <c r="D114" s="22"/>
      <c r="E114" s="22"/>
      <c r="F114" s="22"/>
      <c r="G114" s="22"/>
      <c r="H114" s="22"/>
      <c r="I114" s="22"/>
      <c r="J114" s="22"/>
      <c r="K114" s="22"/>
      <c r="L114" s="22"/>
    </row>
    <row r="115">
      <c r="A115" s="22"/>
      <c r="B115" s="22"/>
      <c r="C115" s="22"/>
      <c r="D115" s="22"/>
      <c r="E115" s="22"/>
      <c r="F115" s="22"/>
      <c r="G115" s="22"/>
      <c r="H115" s="22"/>
      <c r="I115" s="22"/>
      <c r="J115" s="22"/>
      <c r="K115" s="22"/>
      <c r="L115" s="22"/>
    </row>
    <row r="116">
      <c r="A116" s="22"/>
      <c r="B116" s="22"/>
      <c r="C116" s="22"/>
      <c r="D116" s="22"/>
      <c r="E116" s="22"/>
      <c r="F116" s="22"/>
      <c r="G116" s="22"/>
      <c r="H116" s="22"/>
      <c r="I116" s="22"/>
      <c r="J116" s="22"/>
      <c r="K116" s="22"/>
      <c r="L116" s="22"/>
    </row>
    <row r="117">
      <c r="A117" s="22"/>
      <c r="B117" s="22"/>
      <c r="C117" s="22"/>
      <c r="D117" s="22"/>
      <c r="E117" s="22"/>
      <c r="F117" s="22"/>
      <c r="G117" s="22"/>
      <c r="H117" s="22"/>
      <c r="I117" s="22"/>
      <c r="J117" s="22"/>
      <c r="K117" s="22"/>
      <c r="L117" s="22"/>
    </row>
    <row r="118">
      <c r="A118" s="22"/>
      <c r="B118" s="22"/>
      <c r="C118" s="22"/>
      <c r="D118" s="22"/>
      <c r="E118" s="22"/>
      <c r="F118" s="22"/>
      <c r="G118" s="22"/>
      <c r="H118" s="22"/>
      <c r="I118" s="22"/>
      <c r="J118" s="22"/>
      <c r="K118" s="22"/>
      <c r="L118" s="22"/>
    </row>
    <row r="119">
      <c r="A119" s="22"/>
      <c r="B119" s="22"/>
      <c r="C119" s="22"/>
      <c r="D119" s="22"/>
      <c r="E119" s="22"/>
      <c r="F119" s="22"/>
      <c r="G119" s="22"/>
      <c r="H119" s="22"/>
      <c r="I119" s="22"/>
      <c r="J119" s="22"/>
      <c r="K119" s="22"/>
      <c r="L119" s="22"/>
    </row>
    <row r="120">
      <c r="A120" s="22"/>
      <c r="B120" s="22"/>
      <c r="C120" s="22"/>
      <c r="D120" s="22"/>
      <c r="E120" s="22"/>
      <c r="F120" s="22"/>
      <c r="G120" s="22"/>
      <c r="H120" s="22"/>
      <c r="I120" s="22"/>
      <c r="J120" s="22"/>
      <c r="K120" s="22"/>
      <c r="L120" s="22"/>
    </row>
    <row r="121">
      <c r="A121" s="22"/>
      <c r="B121" s="22"/>
      <c r="C121" s="22"/>
      <c r="D121" s="22"/>
      <c r="E121" s="22"/>
      <c r="F121" s="22"/>
      <c r="G121" s="22"/>
      <c r="H121" s="22"/>
      <c r="I121" s="22"/>
      <c r="J121" s="22"/>
      <c r="K121" s="22"/>
      <c r="L121" s="22"/>
    </row>
    <row r="122">
      <c r="A122" s="22"/>
      <c r="B122" s="22"/>
      <c r="C122" s="22"/>
      <c r="D122" s="22"/>
      <c r="E122" s="22"/>
      <c r="F122" s="22"/>
      <c r="G122" s="22"/>
      <c r="H122" s="22"/>
      <c r="I122" s="22"/>
      <c r="J122" s="22"/>
      <c r="K122" s="22"/>
      <c r="L122" s="22"/>
    </row>
    <row r="123">
      <c r="A123" s="22"/>
      <c r="B123" s="22"/>
      <c r="C123" s="22"/>
      <c r="D123" s="22"/>
      <c r="E123" s="22"/>
      <c r="F123" s="22"/>
      <c r="G123" s="22"/>
      <c r="H123" s="22"/>
      <c r="I123" s="22"/>
      <c r="J123" s="22"/>
      <c r="K123" s="22"/>
      <c r="L123" s="22"/>
    </row>
    <row r="124">
      <c r="A124" s="22"/>
      <c r="B124" s="22"/>
      <c r="C124" s="22"/>
      <c r="D124" s="22"/>
      <c r="E124" s="22"/>
      <c r="F124" s="22"/>
      <c r="G124" s="22"/>
      <c r="H124" s="22"/>
      <c r="I124" s="22"/>
      <c r="J124" s="22"/>
      <c r="K124" s="22"/>
      <c r="L124" s="22"/>
    </row>
    <row r="125">
      <c r="A125" s="22"/>
      <c r="B125" s="22"/>
      <c r="C125" s="22"/>
      <c r="D125" s="22"/>
      <c r="E125" s="22"/>
      <c r="F125" s="22"/>
      <c r="G125" s="22"/>
      <c r="H125" s="22"/>
      <c r="I125" s="22"/>
      <c r="J125" s="22"/>
      <c r="K125" s="22"/>
      <c r="L125" s="22"/>
    </row>
    <row r="126">
      <c r="A126" s="22"/>
      <c r="B126" s="22"/>
      <c r="C126" s="22"/>
      <c r="D126" s="22"/>
      <c r="E126" s="22"/>
      <c r="F126" s="22"/>
      <c r="G126" s="22"/>
      <c r="H126" s="22"/>
      <c r="I126" s="22"/>
      <c r="J126" s="22"/>
      <c r="K126" s="22"/>
      <c r="L126" s="22"/>
    </row>
    <row r="127">
      <c r="A127" s="22"/>
      <c r="B127" s="22"/>
      <c r="C127" s="22"/>
      <c r="D127" s="22"/>
      <c r="E127" s="22"/>
      <c r="F127" s="22"/>
      <c r="G127" s="22"/>
      <c r="H127" s="22"/>
      <c r="I127" s="22"/>
      <c r="J127" s="22"/>
      <c r="K127" s="22"/>
      <c r="L127" s="22"/>
    </row>
    <row r="128">
      <c r="A128" s="22"/>
      <c r="B128" s="22"/>
      <c r="C128" s="22"/>
      <c r="D128" s="22"/>
      <c r="E128" s="22"/>
      <c r="F128" s="22"/>
      <c r="G128" s="22"/>
      <c r="H128" s="22"/>
      <c r="I128" s="22"/>
      <c r="J128" s="22"/>
      <c r="K128" s="22"/>
      <c r="L128" s="22"/>
    </row>
    <row r="129">
      <c r="A129" s="22"/>
      <c r="B129" s="22"/>
      <c r="C129" s="22"/>
      <c r="D129" s="22"/>
      <c r="E129" s="22"/>
      <c r="F129" s="22"/>
      <c r="G129" s="22"/>
      <c r="H129" s="22"/>
      <c r="I129" s="22"/>
      <c r="J129" s="22"/>
      <c r="K129" s="22"/>
      <c r="L129" s="22"/>
    </row>
    <row r="130">
      <c r="A130" s="22"/>
      <c r="B130" s="22"/>
      <c r="C130" s="22"/>
      <c r="D130" s="22"/>
      <c r="E130" s="22"/>
      <c r="F130" s="22"/>
      <c r="G130" s="22"/>
      <c r="H130" s="22"/>
      <c r="I130" s="22"/>
      <c r="J130" s="22"/>
      <c r="K130" s="22"/>
      <c r="L130" s="22"/>
    </row>
    <row r="131">
      <c r="A131" s="22"/>
      <c r="B131" s="22"/>
      <c r="C131" s="22"/>
      <c r="D131" s="22"/>
      <c r="E131" s="22"/>
      <c r="F131" s="22"/>
      <c r="G131" s="22"/>
      <c r="H131" s="22"/>
      <c r="I131" s="22"/>
      <c r="J131" s="22"/>
      <c r="K131" s="22"/>
      <c r="L131" s="22"/>
    </row>
    <row r="132">
      <c r="A132" s="22"/>
      <c r="B132" s="22"/>
      <c r="C132" s="22"/>
      <c r="D132" s="22"/>
      <c r="E132" s="22"/>
      <c r="F132" s="22"/>
      <c r="G132" s="22"/>
      <c r="H132" s="22"/>
      <c r="I132" s="22"/>
      <c r="J132" s="22"/>
      <c r="K132" s="22"/>
      <c r="L132" s="22"/>
    </row>
    <row r="133">
      <c r="A133" s="22"/>
      <c r="B133" s="22"/>
      <c r="C133" s="22"/>
      <c r="D133" s="22"/>
      <c r="E133" s="22"/>
      <c r="F133" s="22"/>
      <c r="G133" s="22"/>
      <c r="H133" s="22"/>
      <c r="I133" s="22"/>
      <c r="J133" s="22"/>
      <c r="K133" s="22"/>
      <c r="L133" s="22"/>
    </row>
    <row r="134">
      <c r="A134" s="22"/>
      <c r="B134" s="22"/>
      <c r="C134" s="22"/>
      <c r="D134" s="22"/>
      <c r="E134" s="22"/>
      <c r="F134" s="22"/>
      <c r="G134" s="22"/>
      <c r="H134" s="22"/>
      <c r="I134" s="22"/>
      <c r="J134" s="22"/>
      <c r="K134" s="22"/>
      <c r="L134" s="22"/>
    </row>
    <row r="135">
      <c r="A135" s="22"/>
      <c r="B135" s="22"/>
      <c r="C135" s="22"/>
      <c r="D135" s="22"/>
      <c r="E135" s="22"/>
      <c r="F135" s="22"/>
      <c r="G135" s="22"/>
      <c r="H135" s="22"/>
      <c r="I135" s="22"/>
      <c r="J135" s="22"/>
      <c r="K135" s="22"/>
      <c r="L135" s="22"/>
    </row>
    <row r="136">
      <c r="A136" s="22"/>
      <c r="B136" s="22"/>
      <c r="C136" s="22"/>
      <c r="D136" s="22"/>
      <c r="E136" s="22"/>
      <c r="F136" s="22"/>
      <c r="G136" s="22"/>
      <c r="H136" s="22"/>
      <c r="I136" s="22"/>
      <c r="J136" s="22"/>
      <c r="K136" s="22"/>
      <c r="L136" s="22"/>
    </row>
    <row r="137">
      <c r="A137" s="22"/>
      <c r="B137" s="22"/>
      <c r="C137" s="22"/>
      <c r="D137" s="22"/>
      <c r="E137" s="22"/>
      <c r="F137" s="22"/>
      <c r="G137" s="22"/>
      <c r="H137" s="22"/>
      <c r="I137" s="22"/>
      <c r="J137" s="22"/>
      <c r="K137" s="22"/>
      <c r="L137" s="22"/>
    </row>
    <row r="138">
      <c r="A138" s="22"/>
      <c r="B138" s="22"/>
      <c r="C138" s="22"/>
      <c r="D138" s="22"/>
      <c r="E138" s="22"/>
      <c r="F138" s="22"/>
      <c r="G138" s="22"/>
      <c r="H138" s="22"/>
      <c r="I138" s="22"/>
      <c r="J138" s="22"/>
      <c r="K138" s="22"/>
      <c r="L138" s="22"/>
    </row>
    <row r="139">
      <c r="A139" s="22"/>
      <c r="B139" s="22"/>
      <c r="C139" s="22"/>
      <c r="D139" s="22"/>
      <c r="E139" s="22"/>
      <c r="F139" s="22"/>
      <c r="G139" s="22"/>
      <c r="H139" s="22"/>
      <c r="I139" s="22"/>
      <c r="J139" s="22"/>
      <c r="K139" s="22"/>
      <c r="L139" s="22"/>
    </row>
  </sheetData>
  <dataValidations>
    <dataValidation type="list" allowBlank="1" showDropDown="1" showErrorMessage="1" sqref="G2:G92">
      <formula1>"Must-have,Should-have,Could-have"</formula1>
    </dataValidation>
    <dataValidation type="list" allowBlank="1" sqref="I2:I92">
      <formula1>"Giáp,Nhật,Nghĩa,Duy"</formula1>
    </dataValidation>
    <dataValidation type="list" allowBlank="1" sqref="D2:D92">
      <formula1>"Admin,Auth,Family,Finance,Wallet,Task,SOS,Celendar,Album"</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21.38"/>
  </cols>
  <sheetData>
    <row r="1" ht="22.5" customHeight="1">
      <c r="A1" s="23" t="s">
        <v>496</v>
      </c>
      <c r="B1" s="23" t="s">
        <v>497</v>
      </c>
      <c r="C1" s="23" t="s">
        <v>498</v>
      </c>
      <c r="D1" s="23" t="s">
        <v>499</v>
      </c>
      <c r="E1" s="23" t="s">
        <v>500</v>
      </c>
      <c r="F1" s="23" t="s">
        <v>501</v>
      </c>
      <c r="G1" s="23" t="s">
        <v>502</v>
      </c>
      <c r="H1" s="23" t="s">
        <v>6</v>
      </c>
      <c r="I1" s="23" t="s">
        <v>8</v>
      </c>
      <c r="J1" s="23" t="s">
        <v>503</v>
      </c>
    </row>
    <row r="2" ht="22.5" customHeight="1">
      <c r="A2" s="2" t="s">
        <v>504</v>
      </c>
      <c r="B2" s="2" t="s">
        <v>505</v>
      </c>
      <c r="C2" s="3" t="s">
        <v>506</v>
      </c>
      <c r="D2" s="2" t="s">
        <v>507</v>
      </c>
      <c r="E2" s="2" t="s">
        <v>508</v>
      </c>
      <c r="F2" s="2" t="s">
        <v>509</v>
      </c>
      <c r="G2" s="2" t="s">
        <v>510</v>
      </c>
      <c r="H2" s="2" t="s">
        <v>18</v>
      </c>
      <c r="I2" s="2" t="s">
        <v>511</v>
      </c>
      <c r="J2" s="2" t="s">
        <v>512</v>
      </c>
    </row>
    <row r="3" ht="22.5" customHeight="1">
      <c r="A3" s="2" t="s">
        <v>513</v>
      </c>
      <c r="B3" s="2" t="s">
        <v>514</v>
      </c>
      <c r="C3" s="3" t="s">
        <v>506</v>
      </c>
      <c r="D3" s="2" t="s">
        <v>515</v>
      </c>
      <c r="E3" s="2" t="s">
        <v>516</v>
      </c>
      <c r="F3" s="2" t="s">
        <v>517</v>
      </c>
      <c r="G3" s="2" t="s">
        <v>518</v>
      </c>
      <c r="H3" s="2" t="s">
        <v>18</v>
      </c>
      <c r="I3" s="2" t="s">
        <v>511</v>
      </c>
      <c r="J3" s="2" t="s">
        <v>519</v>
      </c>
    </row>
    <row r="4" ht="22.5" customHeight="1">
      <c r="A4" s="2" t="s">
        <v>520</v>
      </c>
      <c r="B4" s="2" t="s">
        <v>521</v>
      </c>
      <c r="C4" s="3" t="s">
        <v>506</v>
      </c>
      <c r="D4" s="2" t="s">
        <v>522</v>
      </c>
      <c r="E4" s="2" t="s">
        <v>523</v>
      </c>
      <c r="F4" s="2" t="s">
        <v>185</v>
      </c>
      <c r="G4" s="2" t="s">
        <v>524</v>
      </c>
      <c r="H4" s="2" t="s">
        <v>18</v>
      </c>
      <c r="I4" s="2" t="s">
        <v>20</v>
      </c>
      <c r="J4" s="2" t="s">
        <v>525</v>
      </c>
    </row>
    <row r="5" ht="22.5" customHeight="1">
      <c r="A5" s="2" t="s">
        <v>526</v>
      </c>
      <c r="B5" s="2" t="s">
        <v>527</v>
      </c>
      <c r="C5" s="3" t="s">
        <v>506</v>
      </c>
      <c r="D5" s="2" t="s">
        <v>528</v>
      </c>
      <c r="E5" s="2" t="s">
        <v>529</v>
      </c>
      <c r="F5" s="2" t="s">
        <v>185</v>
      </c>
      <c r="G5" s="2" t="s">
        <v>530</v>
      </c>
      <c r="H5" s="2" t="s">
        <v>18</v>
      </c>
      <c r="I5" s="2" t="s">
        <v>20</v>
      </c>
      <c r="J5" s="2" t="s">
        <v>531</v>
      </c>
    </row>
    <row r="6" ht="22.5" customHeight="1">
      <c r="A6" s="2" t="s">
        <v>532</v>
      </c>
      <c r="B6" s="2" t="s">
        <v>533</v>
      </c>
      <c r="C6" s="4" t="s">
        <v>506</v>
      </c>
      <c r="D6" s="2" t="s">
        <v>534</v>
      </c>
      <c r="E6" s="2" t="s">
        <v>535</v>
      </c>
      <c r="F6" s="2" t="s">
        <v>256</v>
      </c>
      <c r="G6" s="2" t="s">
        <v>536</v>
      </c>
      <c r="H6" s="2" t="s">
        <v>18</v>
      </c>
      <c r="I6" s="2" t="s">
        <v>20</v>
      </c>
      <c r="J6" s="2" t="s">
        <v>537</v>
      </c>
    </row>
    <row r="7" ht="22.5" customHeight="1">
      <c r="A7" s="2" t="s">
        <v>417</v>
      </c>
      <c r="B7" s="2" t="s">
        <v>538</v>
      </c>
      <c r="C7" s="3" t="s">
        <v>539</v>
      </c>
      <c r="D7" s="2" t="s">
        <v>540</v>
      </c>
      <c r="E7" s="2" t="s">
        <v>541</v>
      </c>
      <c r="F7" s="2" t="s">
        <v>542</v>
      </c>
      <c r="G7" s="2" t="s">
        <v>543</v>
      </c>
      <c r="H7" s="2" t="s">
        <v>39</v>
      </c>
      <c r="I7" s="2" t="s">
        <v>20</v>
      </c>
      <c r="J7" s="2" t="s">
        <v>544</v>
      </c>
    </row>
    <row r="8" ht="22.5" customHeight="1">
      <c r="A8" s="2" t="s">
        <v>545</v>
      </c>
      <c r="B8" s="2" t="s">
        <v>546</v>
      </c>
      <c r="C8" s="3" t="s">
        <v>539</v>
      </c>
      <c r="D8" s="2" t="s">
        <v>547</v>
      </c>
      <c r="E8" s="2" t="s">
        <v>548</v>
      </c>
      <c r="F8" s="2" t="s">
        <v>256</v>
      </c>
      <c r="G8" s="2" t="s">
        <v>549</v>
      </c>
      <c r="H8" s="2" t="s">
        <v>51</v>
      </c>
      <c r="I8" s="2" t="s">
        <v>20</v>
      </c>
      <c r="J8" s="2" t="s">
        <v>550</v>
      </c>
    </row>
    <row r="9" ht="22.5" customHeight="1">
      <c r="A9" s="2" t="s">
        <v>551</v>
      </c>
      <c r="B9" s="2" t="s">
        <v>552</v>
      </c>
      <c r="C9" s="3" t="s">
        <v>539</v>
      </c>
      <c r="D9" s="2" t="s">
        <v>553</v>
      </c>
      <c r="E9" s="2" t="s">
        <v>554</v>
      </c>
      <c r="F9" s="2" t="s">
        <v>256</v>
      </c>
      <c r="G9" s="2" t="s">
        <v>555</v>
      </c>
      <c r="H9" s="2" t="s">
        <v>39</v>
      </c>
      <c r="I9" s="2" t="s">
        <v>20</v>
      </c>
      <c r="J9" s="2" t="s">
        <v>556</v>
      </c>
    </row>
    <row r="10" ht="22.5" customHeight="1">
      <c r="A10" s="2" t="s">
        <v>557</v>
      </c>
      <c r="B10" s="2" t="s">
        <v>558</v>
      </c>
      <c r="C10" s="3" t="s">
        <v>539</v>
      </c>
      <c r="D10" s="2" t="s">
        <v>559</v>
      </c>
      <c r="E10" s="2" t="s">
        <v>560</v>
      </c>
      <c r="F10" s="2" t="s">
        <v>561</v>
      </c>
      <c r="G10" s="2" t="s">
        <v>562</v>
      </c>
      <c r="H10" s="2" t="s">
        <v>39</v>
      </c>
      <c r="I10" s="2" t="s">
        <v>20</v>
      </c>
      <c r="J10" s="2" t="s">
        <v>563</v>
      </c>
    </row>
    <row r="11">
      <c r="A11" s="22"/>
      <c r="B11" s="22"/>
      <c r="C11" s="22"/>
      <c r="D11" s="22"/>
      <c r="E11" s="22"/>
      <c r="F11" s="22"/>
      <c r="G11" s="22"/>
      <c r="H11" s="22"/>
      <c r="I11" s="22"/>
      <c r="J11" s="22"/>
    </row>
    <row r="12">
      <c r="A12" s="22"/>
      <c r="B12" s="22"/>
      <c r="C12" s="22"/>
      <c r="D12" s="22"/>
      <c r="E12" s="22"/>
      <c r="F12" s="22"/>
      <c r="G12" s="22"/>
      <c r="H12" s="22"/>
      <c r="I12" s="22"/>
      <c r="J12" s="22"/>
    </row>
    <row r="13">
      <c r="A13" s="22"/>
      <c r="B13" s="22"/>
      <c r="C13" s="22"/>
      <c r="D13" s="22"/>
      <c r="E13" s="22"/>
      <c r="F13" s="22"/>
      <c r="G13" s="22"/>
      <c r="H13" s="22"/>
      <c r="I13" s="22"/>
      <c r="J13" s="22"/>
    </row>
    <row r="14">
      <c r="A14" s="22"/>
      <c r="B14" s="22"/>
      <c r="C14" s="22"/>
      <c r="D14" s="22"/>
      <c r="E14" s="22"/>
      <c r="F14" s="22"/>
      <c r="G14" s="22"/>
      <c r="H14" s="22"/>
      <c r="I14" s="22"/>
      <c r="J14" s="22"/>
    </row>
    <row r="15">
      <c r="A15" s="22"/>
      <c r="B15" s="22"/>
      <c r="C15" s="22"/>
      <c r="D15" s="22"/>
      <c r="E15" s="22"/>
      <c r="F15" s="22"/>
      <c r="G15" s="22"/>
      <c r="H15" s="22"/>
      <c r="I15" s="22"/>
      <c r="J15" s="22"/>
    </row>
    <row r="16">
      <c r="A16" s="22"/>
      <c r="B16" s="22"/>
      <c r="C16" s="22"/>
      <c r="D16" s="22"/>
      <c r="E16" s="22"/>
      <c r="F16" s="22"/>
      <c r="G16" s="22"/>
      <c r="H16" s="22"/>
      <c r="I16" s="22"/>
      <c r="J16" s="22"/>
    </row>
    <row r="17">
      <c r="A17" s="22"/>
      <c r="B17" s="22"/>
      <c r="C17" s="22"/>
      <c r="D17" s="22"/>
      <c r="E17" s="22"/>
      <c r="F17" s="22"/>
      <c r="G17" s="22"/>
      <c r="H17" s="22"/>
      <c r="I17" s="22"/>
      <c r="J17" s="22"/>
    </row>
    <row r="18">
      <c r="A18" s="22"/>
      <c r="B18" s="22"/>
      <c r="C18" s="22"/>
      <c r="D18" s="22"/>
      <c r="E18" s="22"/>
      <c r="F18" s="22"/>
      <c r="G18" s="22"/>
      <c r="H18" s="22"/>
      <c r="I18" s="22"/>
      <c r="J18" s="22"/>
    </row>
    <row r="19">
      <c r="A19" s="22"/>
      <c r="B19" s="22"/>
      <c r="C19" s="22"/>
      <c r="D19" s="22"/>
      <c r="E19" s="22"/>
      <c r="F19" s="22"/>
      <c r="G19" s="22"/>
      <c r="H19" s="22"/>
      <c r="I19" s="22"/>
      <c r="J19" s="22"/>
    </row>
    <row r="20">
      <c r="A20" s="22"/>
      <c r="B20" s="22"/>
      <c r="C20" s="22"/>
      <c r="D20" s="22"/>
      <c r="E20" s="22"/>
      <c r="F20" s="22"/>
      <c r="G20" s="22"/>
      <c r="H20" s="22"/>
      <c r="I20" s="22"/>
      <c r="J20" s="22"/>
    </row>
    <row r="21">
      <c r="A21" s="22"/>
      <c r="B21" s="22"/>
      <c r="C21" s="22"/>
      <c r="D21" s="22"/>
      <c r="E21" s="22"/>
      <c r="F21" s="22"/>
      <c r="G21" s="22"/>
      <c r="H21" s="22"/>
      <c r="I21" s="22"/>
      <c r="J21" s="22"/>
    </row>
    <row r="22">
      <c r="A22" s="22"/>
      <c r="B22" s="22"/>
      <c r="C22" s="22"/>
      <c r="D22" s="22"/>
      <c r="E22" s="22"/>
      <c r="F22" s="22"/>
      <c r="G22" s="22"/>
      <c r="H22" s="22"/>
      <c r="I22" s="22"/>
      <c r="J22" s="22"/>
    </row>
    <row r="23">
      <c r="A23" s="22"/>
      <c r="B23" s="22"/>
      <c r="C23" s="22"/>
      <c r="D23" s="22"/>
      <c r="E23" s="22"/>
      <c r="F23" s="22"/>
      <c r="G23" s="22"/>
      <c r="H23" s="22"/>
      <c r="I23" s="22"/>
      <c r="J23" s="22"/>
    </row>
    <row r="24">
      <c r="A24" s="22"/>
      <c r="B24" s="22"/>
      <c r="C24" s="22"/>
      <c r="D24" s="22"/>
      <c r="E24" s="22"/>
      <c r="F24" s="22"/>
      <c r="G24" s="22"/>
      <c r="H24" s="22"/>
      <c r="I24" s="22"/>
      <c r="J24" s="22"/>
    </row>
    <row r="25">
      <c r="A25" s="22"/>
      <c r="B25" s="22"/>
      <c r="C25" s="22"/>
      <c r="D25" s="22"/>
      <c r="E25" s="22"/>
      <c r="F25" s="22"/>
      <c r="G25" s="22"/>
      <c r="H25" s="22"/>
      <c r="I25" s="22"/>
      <c r="J25" s="22"/>
    </row>
    <row r="26">
      <c r="A26" s="22"/>
      <c r="B26" s="22"/>
      <c r="C26" s="22"/>
      <c r="D26" s="22"/>
      <c r="E26" s="22"/>
      <c r="F26" s="22"/>
      <c r="G26" s="22"/>
      <c r="H26" s="22"/>
      <c r="I26" s="22"/>
      <c r="J26" s="22"/>
    </row>
    <row r="27">
      <c r="A27" s="22"/>
      <c r="B27" s="22"/>
      <c r="C27" s="22"/>
      <c r="D27" s="22"/>
      <c r="E27" s="22"/>
      <c r="F27" s="22"/>
      <c r="G27" s="22"/>
      <c r="H27" s="22"/>
      <c r="I27" s="22"/>
      <c r="J27" s="22"/>
    </row>
    <row r="28">
      <c r="A28" s="22"/>
      <c r="B28" s="22"/>
      <c r="C28" s="22"/>
      <c r="D28" s="22"/>
      <c r="E28" s="22"/>
      <c r="F28" s="22"/>
      <c r="G28" s="22"/>
      <c r="H28" s="22"/>
      <c r="I28" s="22"/>
      <c r="J28" s="22"/>
    </row>
    <row r="29">
      <c r="A29" s="22"/>
      <c r="B29" s="22"/>
      <c r="C29" s="22"/>
      <c r="D29" s="22"/>
      <c r="E29" s="22"/>
      <c r="F29" s="22"/>
      <c r="G29" s="22"/>
      <c r="H29" s="22"/>
      <c r="I29" s="22"/>
      <c r="J29" s="22"/>
    </row>
    <row r="30">
      <c r="A30" s="22"/>
      <c r="B30" s="22"/>
      <c r="C30" s="22"/>
      <c r="D30" s="22"/>
      <c r="E30" s="22"/>
      <c r="F30" s="22"/>
      <c r="G30" s="22"/>
      <c r="H30" s="22"/>
      <c r="I30" s="22"/>
      <c r="J30" s="22"/>
    </row>
    <row r="31">
      <c r="A31" s="22"/>
      <c r="B31" s="22"/>
      <c r="C31" s="22"/>
      <c r="D31" s="22"/>
      <c r="E31" s="22"/>
      <c r="F31" s="22"/>
      <c r="G31" s="22"/>
      <c r="H31" s="22"/>
      <c r="I31" s="22"/>
      <c r="J31" s="22"/>
    </row>
    <row r="32">
      <c r="A32" s="22"/>
      <c r="B32" s="22"/>
      <c r="C32" s="22"/>
      <c r="D32" s="22"/>
      <c r="E32" s="22"/>
      <c r="F32" s="22"/>
      <c r="G32" s="22"/>
      <c r="H32" s="22"/>
      <c r="I32" s="22"/>
      <c r="J32" s="22"/>
    </row>
    <row r="33">
      <c r="A33" s="22"/>
      <c r="B33" s="22"/>
      <c r="C33" s="22"/>
      <c r="D33" s="22"/>
      <c r="E33" s="22"/>
      <c r="F33" s="22"/>
      <c r="G33" s="22"/>
      <c r="H33" s="22"/>
      <c r="I33" s="22"/>
      <c r="J33" s="22"/>
    </row>
    <row r="34">
      <c r="A34" s="22"/>
      <c r="B34" s="22"/>
      <c r="C34" s="22"/>
      <c r="D34" s="22"/>
      <c r="E34" s="22"/>
      <c r="F34" s="22"/>
      <c r="G34" s="22"/>
      <c r="H34" s="22"/>
      <c r="I34" s="22"/>
      <c r="J34" s="22"/>
    </row>
    <row r="35">
      <c r="A35" s="22"/>
      <c r="B35" s="22"/>
      <c r="C35" s="22"/>
      <c r="D35" s="22"/>
      <c r="E35" s="22"/>
      <c r="F35" s="22"/>
      <c r="G35" s="22"/>
      <c r="H35" s="22"/>
      <c r="I35" s="22"/>
      <c r="J35" s="22"/>
    </row>
    <row r="36">
      <c r="A36" s="22"/>
      <c r="B36" s="22"/>
      <c r="C36" s="22"/>
      <c r="D36" s="22"/>
      <c r="E36" s="22"/>
      <c r="F36" s="22"/>
      <c r="G36" s="22"/>
      <c r="H36" s="22"/>
      <c r="I36" s="22"/>
      <c r="J36" s="22"/>
    </row>
    <row r="37">
      <c r="A37" s="22"/>
      <c r="B37" s="22"/>
      <c r="C37" s="22"/>
      <c r="D37" s="22"/>
      <c r="E37" s="22"/>
      <c r="F37" s="22"/>
      <c r="G37" s="22"/>
      <c r="H37" s="22"/>
      <c r="I37" s="22"/>
      <c r="J37" s="22"/>
    </row>
    <row r="38">
      <c r="A38" s="22"/>
      <c r="B38" s="22"/>
      <c r="C38" s="22"/>
      <c r="D38" s="22"/>
      <c r="E38" s="22"/>
      <c r="F38" s="22"/>
      <c r="G38" s="22"/>
      <c r="H38" s="22"/>
      <c r="I38" s="22"/>
      <c r="J38" s="22"/>
    </row>
    <row r="39">
      <c r="A39" s="22"/>
      <c r="B39" s="22"/>
      <c r="C39" s="22"/>
      <c r="D39" s="22"/>
      <c r="E39" s="22"/>
      <c r="F39" s="22"/>
      <c r="G39" s="22"/>
      <c r="H39" s="22"/>
      <c r="I39" s="22"/>
      <c r="J39" s="22"/>
    </row>
    <row r="40">
      <c r="A40" s="22"/>
      <c r="B40" s="22"/>
      <c r="C40" s="22"/>
      <c r="D40" s="22"/>
      <c r="E40" s="22"/>
      <c r="F40" s="22"/>
      <c r="G40" s="22"/>
      <c r="H40" s="22"/>
      <c r="I40" s="22"/>
      <c r="J40" s="22"/>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D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sheetData>
  <dataValidations>
    <dataValidation type="list" allowBlank="1" showDropDown="1" showErrorMessage="1" sqref="C2:C10">
      <formula1>"Core,Supporting"</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21.38"/>
  </cols>
  <sheetData>
    <row r="1" ht="22.5" customHeight="1">
      <c r="A1" s="1" t="s">
        <v>564</v>
      </c>
      <c r="B1" s="1" t="s">
        <v>565</v>
      </c>
      <c r="C1" s="1" t="s">
        <v>566</v>
      </c>
      <c r="D1" s="1" t="s">
        <v>567</v>
      </c>
      <c r="E1" s="1" t="s">
        <v>568</v>
      </c>
      <c r="F1" s="1" t="s">
        <v>569</v>
      </c>
      <c r="G1" s="1" t="s">
        <v>3</v>
      </c>
      <c r="H1" s="1" t="s">
        <v>6</v>
      </c>
      <c r="I1" s="1" t="s">
        <v>7</v>
      </c>
      <c r="J1" s="1" t="s">
        <v>10</v>
      </c>
    </row>
    <row r="2" ht="22.5" customHeight="1">
      <c r="A2" s="2" t="s">
        <v>89</v>
      </c>
      <c r="B2" s="2" t="s">
        <v>570</v>
      </c>
      <c r="C2" s="2" t="s">
        <v>571</v>
      </c>
      <c r="D2" s="2" t="s">
        <v>572</v>
      </c>
      <c r="E2" s="2" t="s">
        <v>573</v>
      </c>
      <c r="F2" s="2" t="s">
        <v>574</v>
      </c>
      <c r="G2" s="2" t="s">
        <v>75</v>
      </c>
      <c r="H2" s="3" t="s">
        <v>18</v>
      </c>
      <c r="I2" s="2" t="s">
        <v>19</v>
      </c>
      <c r="J2" s="2" t="s">
        <v>575</v>
      </c>
    </row>
    <row r="3" ht="22.5" customHeight="1">
      <c r="A3" s="2" t="s">
        <v>576</v>
      </c>
      <c r="B3" s="2" t="s">
        <v>570</v>
      </c>
      <c r="C3" s="2" t="s">
        <v>577</v>
      </c>
      <c r="D3" s="2" t="s">
        <v>578</v>
      </c>
      <c r="E3" s="2" t="s">
        <v>579</v>
      </c>
      <c r="F3" s="2" t="s">
        <v>98</v>
      </c>
      <c r="G3" s="2" t="s">
        <v>580</v>
      </c>
      <c r="H3" s="3" t="s">
        <v>18</v>
      </c>
      <c r="I3" s="2" t="s">
        <v>19</v>
      </c>
      <c r="J3" s="2" t="s">
        <v>581</v>
      </c>
    </row>
    <row r="4" ht="22.5" customHeight="1">
      <c r="A4" s="2" t="s">
        <v>582</v>
      </c>
      <c r="B4" s="2" t="s">
        <v>583</v>
      </c>
      <c r="C4" s="2" t="s">
        <v>584</v>
      </c>
      <c r="D4" s="2" t="s">
        <v>114</v>
      </c>
      <c r="E4" s="2" t="s">
        <v>573</v>
      </c>
      <c r="F4" s="2" t="s">
        <v>585</v>
      </c>
      <c r="G4" s="2" t="s">
        <v>75</v>
      </c>
      <c r="H4" s="3" t="s">
        <v>18</v>
      </c>
      <c r="I4" s="2" t="s">
        <v>19</v>
      </c>
      <c r="J4" s="2" t="s">
        <v>586</v>
      </c>
    </row>
    <row r="5" ht="22.5" customHeight="1">
      <c r="A5" s="2" t="s">
        <v>587</v>
      </c>
      <c r="B5" s="2" t="s">
        <v>583</v>
      </c>
      <c r="C5" s="2" t="s">
        <v>588</v>
      </c>
      <c r="D5" s="2" t="s">
        <v>114</v>
      </c>
      <c r="E5" s="2" t="s">
        <v>573</v>
      </c>
      <c r="F5" s="2" t="s">
        <v>585</v>
      </c>
      <c r="G5" s="2" t="s">
        <v>75</v>
      </c>
      <c r="H5" s="3" t="s">
        <v>18</v>
      </c>
      <c r="I5" s="2" t="s">
        <v>19</v>
      </c>
      <c r="J5" s="2" t="s">
        <v>589</v>
      </c>
    </row>
    <row r="6" ht="22.5" customHeight="1">
      <c r="A6" s="2" t="s">
        <v>83</v>
      </c>
      <c r="B6" s="2" t="s">
        <v>590</v>
      </c>
      <c r="C6" s="2" t="s">
        <v>591</v>
      </c>
      <c r="D6" s="2" t="s">
        <v>81</v>
      </c>
      <c r="E6" s="2" t="s">
        <v>573</v>
      </c>
      <c r="F6" s="2" t="s">
        <v>592</v>
      </c>
      <c r="G6" s="2" t="s">
        <v>75</v>
      </c>
      <c r="H6" s="3" t="s">
        <v>18</v>
      </c>
      <c r="I6" s="2" t="s">
        <v>19</v>
      </c>
      <c r="J6" s="2" t="s">
        <v>593</v>
      </c>
    </row>
    <row r="7" ht="22.5" customHeight="1">
      <c r="A7" s="2" t="s">
        <v>65</v>
      </c>
      <c r="B7" s="2" t="s">
        <v>594</v>
      </c>
      <c r="C7" s="2" t="s">
        <v>595</v>
      </c>
      <c r="D7" s="2" t="s">
        <v>58</v>
      </c>
      <c r="E7" s="2" t="s">
        <v>573</v>
      </c>
      <c r="F7" s="2" t="s">
        <v>596</v>
      </c>
      <c r="G7" s="2" t="s">
        <v>57</v>
      </c>
      <c r="H7" s="3" t="s">
        <v>18</v>
      </c>
      <c r="I7" s="2" t="s">
        <v>19</v>
      </c>
      <c r="J7" s="2" t="s">
        <v>597</v>
      </c>
    </row>
    <row r="8" ht="22.5" customHeight="1">
      <c r="A8" s="2" t="s">
        <v>71</v>
      </c>
      <c r="B8" s="2" t="s">
        <v>598</v>
      </c>
      <c r="C8" s="2" t="s">
        <v>599</v>
      </c>
      <c r="D8" s="2" t="s">
        <v>69</v>
      </c>
      <c r="E8" s="2" t="s">
        <v>573</v>
      </c>
      <c r="F8" s="2" t="s">
        <v>600</v>
      </c>
      <c r="G8" s="2" t="s">
        <v>601</v>
      </c>
      <c r="H8" s="3" t="s">
        <v>18</v>
      </c>
      <c r="I8" s="2" t="s">
        <v>19</v>
      </c>
      <c r="J8" s="2" t="s">
        <v>602</v>
      </c>
    </row>
    <row r="9" ht="22.5" customHeight="1">
      <c r="A9" s="2" t="s">
        <v>603</v>
      </c>
      <c r="B9" s="2" t="s">
        <v>594</v>
      </c>
      <c r="C9" s="2" t="s">
        <v>604</v>
      </c>
      <c r="D9" s="2" t="s">
        <v>358</v>
      </c>
      <c r="E9" s="2" t="s">
        <v>573</v>
      </c>
      <c r="F9" s="2" t="s">
        <v>54</v>
      </c>
      <c r="G9" s="2" t="s">
        <v>57</v>
      </c>
      <c r="H9" s="3" t="s">
        <v>18</v>
      </c>
      <c r="I9" s="2" t="s">
        <v>19</v>
      </c>
      <c r="J9" s="2" t="s">
        <v>605</v>
      </c>
    </row>
    <row r="10" ht="22.5" customHeight="1">
      <c r="A10" s="2" t="s">
        <v>606</v>
      </c>
      <c r="B10" s="2" t="s">
        <v>607</v>
      </c>
      <c r="C10" s="2" t="s">
        <v>608</v>
      </c>
      <c r="D10" s="2" t="s">
        <v>58</v>
      </c>
      <c r="E10" s="2" t="s">
        <v>573</v>
      </c>
      <c r="F10" s="2" t="s">
        <v>73</v>
      </c>
      <c r="G10" s="2" t="s">
        <v>75</v>
      </c>
      <c r="H10" s="3" t="s">
        <v>18</v>
      </c>
      <c r="I10" s="2" t="s">
        <v>19</v>
      </c>
      <c r="J10" s="2" t="s">
        <v>575</v>
      </c>
    </row>
    <row r="11" ht="22.5" customHeight="1">
      <c r="A11" s="2" t="s">
        <v>609</v>
      </c>
      <c r="B11" s="2" t="s">
        <v>607</v>
      </c>
      <c r="C11" s="2" t="s">
        <v>610</v>
      </c>
      <c r="D11" s="2" t="s">
        <v>572</v>
      </c>
      <c r="E11" s="2" t="s">
        <v>573</v>
      </c>
      <c r="F11" s="2" t="s">
        <v>611</v>
      </c>
      <c r="G11" s="2" t="s">
        <v>612</v>
      </c>
      <c r="H11" s="3" t="s">
        <v>18</v>
      </c>
      <c r="I11" s="2" t="s">
        <v>19</v>
      </c>
      <c r="J11" s="2" t="s">
        <v>613</v>
      </c>
    </row>
    <row r="12" ht="22.5" customHeight="1">
      <c r="A12" s="2" t="s">
        <v>614</v>
      </c>
      <c r="B12" s="2" t="s">
        <v>15</v>
      </c>
      <c r="C12" s="2" t="s">
        <v>615</v>
      </c>
      <c r="D12" s="2" t="s">
        <v>616</v>
      </c>
      <c r="E12" s="2" t="s">
        <v>573</v>
      </c>
      <c r="F12" s="2" t="s">
        <v>617</v>
      </c>
      <c r="G12" s="2" t="s">
        <v>15</v>
      </c>
      <c r="H12" s="3" t="s">
        <v>18</v>
      </c>
      <c r="I12" s="2" t="s">
        <v>19</v>
      </c>
      <c r="J12" s="2" t="s">
        <v>618</v>
      </c>
    </row>
    <row r="13" ht="22.5" customHeight="1">
      <c r="A13" s="2" t="s">
        <v>619</v>
      </c>
      <c r="B13" s="2" t="s">
        <v>15</v>
      </c>
      <c r="C13" s="2" t="s">
        <v>620</v>
      </c>
      <c r="D13" s="2" t="s">
        <v>572</v>
      </c>
      <c r="E13" s="2" t="s">
        <v>573</v>
      </c>
      <c r="F13" s="2" t="s">
        <v>621</v>
      </c>
      <c r="G13" s="2" t="s">
        <v>15</v>
      </c>
      <c r="H13" s="3" t="s">
        <v>18</v>
      </c>
      <c r="I13" s="2" t="s">
        <v>19</v>
      </c>
      <c r="J13" s="2" t="s">
        <v>622</v>
      </c>
    </row>
    <row r="14" ht="22.5" customHeight="1">
      <c r="A14" s="2" t="s">
        <v>623</v>
      </c>
      <c r="B14" s="2" t="s">
        <v>15</v>
      </c>
      <c r="C14" s="2" t="s">
        <v>624</v>
      </c>
      <c r="D14" s="2" t="s">
        <v>572</v>
      </c>
      <c r="E14" s="2" t="s">
        <v>573</v>
      </c>
      <c r="F14" s="2" t="s">
        <v>625</v>
      </c>
      <c r="G14" s="2" t="s">
        <v>15</v>
      </c>
      <c r="H14" s="3" t="s">
        <v>18</v>
      </c>
      <c r="I14" s="2" t="s">
        <v>19</v>
      </c>
      <c r="J14" s="2" t="s">
        <v>626</v>
      </c>
    </row>
    <row r="15" ht="22.5" customHeight="1">
      <c r="A15" s="2" t="s">
        <v>627</v>
      </c>
      <c r="B15" s="2" t="s">
        <v>15</v>
      </c>
      <c r="C15" s="2" t="s">
        <v>628</v>
      </c>
      <c r="D15" s="2" t="s">
        <v>572</v>
      </c>
      <c r="E15" s="2" t="s">
        <v>573</v>
      </c>
      <c r="F15" s="2" t="s">
        <v>629</v>
      </c>
      <c r="G15" s="2" t="s">
        <v>630</v>
      </c>
      <c r="H15" s="3" t="s">
        <v>18</v>
      </c>
      <c r="I15" s="2" t="s">
        <v>19</v>
      </c>
      <c r="J15" s="2" t="s">
        <v>631</v>
      </c>
    </row>
    <row r="16" ht="22.5" customHeight="1">
      <c r="A16" s="2" t="s">
        <v>632</v>
      </c>
      <c r="B16" s="2" t="s">
        <v>15</v>
      </c>
      <c r="C16" s="2" t="s">
        <v>633</v>
      </c>
      <c r="D16" s="2" t="s">
        <v>572</v>
      </c>
      <c r="E16" s="2" t="s">
        <v>573</v>
      </c>
      <c r="F16" s="2" t="s">
        <v>634</v>
      </c>
      <c r="G16" s="2" t="s">
        <v>15</v>
      </c>
      <c r="H16" s="3" t="s">
        <v>39</v>
      </c>
      <c r="I16" s="2" t="s">
        <v>19</v>
      </c>
      <c r="J16" s="2" t="s">
        <v>635</v>
      </c>
    </row>
    <row r="17" ht="22.5" customHeight="1">
      <c r="A17" s="2" t="s">
        <v>636</v>
      </c>
      <c r="B17" s="2" t="s">
        <v>15</v>
      </c>
      <c r="C17" s="2" t="s">
        <v>637</v>
      </c>
      <c r="D17" s="2" t="s">
        <v>88</v>
      </c>
      <c r="E17" s="2" t="s">
        <v>573</v>
      </c>
      <c r="F17" s="2" t="s">
        <v>560</v>
      </c>
      <c r="G17" s="2" t="s">
        <v>15</v>
      </c>
      <c r="H17" s="3" t="s">
        <v>18</v>
      </c>
      <c r="I17" s="2" t="s">
        <v>19</v>
      </c>
      <c r="J17" s="2" t="s">
        <v>638</v>
      </c>
    </row>
    <row r="18" ht="22.5" customHeight="1">
      <c r="A18" s="2" t="s">
        <v>639</v>
      </c>
      <c r="B18" s="2" t="s">
        <v>640</v>
      </c>
      <c r="C18" s="2" t="s">
        <v>641</v>
      </c>
      <c r="D18" s="2" t="s">
        <v>642</v>
      </c>
      <c r="E18" s="2" t="s">
        <v>573</v>
      </c>
      <c r="F18" s="2" t="s">
        <v>643</v>
      </c>
      <c r="G18" s="2" t="s">
        <v>640</v>
      </c>
      <c r="H18" s="3" t="s">
        <v>18</v>
      </c>
      <c r="I18" s="2" t="s">
        <v>19</v>
      </c>
      <c r="J18" s="2" t="s">
        <v>644</v>
      </c>
    </row>
    <row r="19" ht="22.5" customHeight="1">
      <c r="A19" s="2" t="s">
        <v>645</v>
      </c>
      <c r="B19" s="2" t="s">
        <v>646</v>
      </c>
      <c r="C19" s="2" t="s">
        <v>647</v>
      </c>
      <c r="D19" s="2" t="s">
        <v>648</v>
      </c>
      <c r="E19" s="2" t="s">
        <v>573</v>
      </c>
      <c r="F19" s="2" t="s">
        <v>649</v>
      </c>
      <c r="G19" s="2" t="s">
        <v>15</v>
      </c>
      <c r="H19" s="3" t="s">
        <v>18</v>
      </c>
      <c r="I19" s="2" t="s">
        <v>19</v>
      </c>
      <c r="J19" s="2" t="s">
        <v>650</v>
      </c>
    </row>
    <row r="20" ht="22.5" customHeight="1">
      <c r="A20" s="2" t="s">
        <v>651</v>
      </c>
      <c r="B20" s="2" t="s">
        <v>652</v>
      </c>
      <c r="C20" s="2" t="s">
        <v>653</v>
      </c>
      <c r="D20" s="2" t="s">
        <v>654</v>
      </c>
      <c r="E20" s="2" t="s">
        <v>573</v>
      </c>
      <c r="F20" s="24" t="s">
        <v>402</v>
      </c>
      <c r="G20" s="2" t="s">
        <v>404</v>
      </c>
      <c r="H20" s="3" t="s">
        <v>18</v>
      </c>
      <c r="I20" s="2" t="s">
        <v>19</v>
      </c>
      <c r="J20" s="2" t="s">
        <v>655</v>
      </c>
    </row>
    <row r="21" ht="22.5" customHeight="1">
      <c r="A21" s="2" t="s">
        <v>656</v>
      </c>
      <c r="B21" s="2" t="s">
        <v>657</v>
      </c>
      <c r="C21" s="2" t="s">
        <v>658</v>
      </c>
      <c r="D21" s="2" t="s">
        <v>654</v>
      </c>
      <c r="E21" s="2" t="s">
        <v>573</v>
      </c>
      <c r="F21" s="2" t="s">
        <v>659</v>
      </c>
      <c r="G21" s="2" t="s">
        <v>640</v>
      </c>
      <c r="H21" s="3" t="s">
        <v>18</v>
      </c>
      <c r="I21" s="2" t="s">
        <v>19</v>
      </c>
      <c r="J21" s="2" t="s">
        <v>660</v>
      </c>
    </row>
    <row r="22" ht="22.5" customHeight="1">
      <c r="A22" s="2" t="s">
        <v>661</v>
      </c>
      <c r="B22" s="2" t="s">
        <v>108</v>
      </c>
      <c r="C22" s="2" t="s">
        <v>662</v>
      </c>
      <c r="D22" s="2" t="s">
        <v>663</v>
      </c>
      <c r="E22" s="2" t="s">
        <v>664</v>
      </c>
      <c r="F22" s="2" t="s">
        <v>665</v>
      </c>
      <c r="G22" s="2" t="s">
        <v>666</v>
      </c>
      <c r="H22" s="3" t="s">
        <v>18</v>
      </c>
      <c r="I22" s="2" t="s">
        <v>19</v>
      </c>
      <c r="J22" s="2" t="s">
        <v>667</v>
      </c>
    </row>
    <row r="23" ht="22.5" customHeight="1">
      <c r="A23" s="2" t="s">
        <v>668</v>
      </c>
      <c r="B23" s="2" t="s">
        <v>108</v>
      </c>
      <c r="C23" s="2" t="s">
        <v>669</v>
      </c>
      <c r="D23" s="2" t="s">
        <v>114</v>
      </c>
      <c r="E23" s="2" t="s">
        <v>573</v>
      </c>
      <c r="F23" s="2" t="s">
        <v>670</v>
      </c>
      <c r="G23" s="2" t="s">
        <v>173</v>
      </c>
      <c r="H23" s="3" t="s">
        <v>18</v>
      </c>
      <c r="I23" s="2" t="s">
        <v>19</v>
      </c>
      <c r="J23" s="2" t="s">
        <v>671</v>
      </c>
    </row>
    <row r="24" ht="22.5" customHeight="1">
      <c r="A24" s="2" t="s">
        <v>672</v>
      </c>
      <c r="B24" s="2" t="s">
        <v>108</v>
      </c>
      <c r="C24" s="2" t="s">
        <v>673</v>
      </c>
      <c r="D24" s="2" t="s">
        <v>221</v>
      </c>
      <c r="E24" s="2" t="s">
        <v>579</v>
      </c>
      <c r="F24" s="2" t="s">
        <v>177</v>
      </c>
      <c r="G24" s="2" t="s">
        <v>666</v>
      </c>
      <c r="H24" s="3" t="s">
        <v>18</v>
      </c>
      <c r="I24" s="2" t="s">
        <v>19</v>
      </c>
      <c r="J24" s="2" t="s">
        <v>674</v>
      </c>
    </row>
    <row r="25" ht="22.5" customHeight="1">
      <c r="A25" s="2" t="s">
        <v>675</v>
      </c>
      <c r="B25" s="2" t="s">
        <v>108</v>
      </c>
      <c r="C25" s="2" t="s">
        <v>676</v>
      </c>
      <c r="D25" s="2" t="s">
        <v>221</v>
      </c>
      <c r="E25" s="2" t="s">
        <v>579</v>
      </c>
      <c r="F25" s="2" t="s">
        <v>677</v>
      </c>
      <c r="G25" s="2" t="s">
        <v>666</v>
      </c>
      <c r="H25" s="3" t="s">
        <v>18</v>
      </c>
      <c r="I25" s="2" t="s">
        <v>19</v>
      </c>
      <c r="J25" s="2" t="s">
        <v>678</v>
      </c>
    </row>
    <row r="26" ht="22.5" customHeight="1">
      <c r="A26" s="2" t="s">
        <v>122</v>
      </c>
      <c r="B26" s="2" t="s">
        <v>108</v>
      </c>
      <c r="C26" s="2" t="s">
        <v>679</v>
      </c>
      <c r="D26" s="2" t="s">
        <v>680</v>
      </c>
      <c r="E26" s="2" t="s">
        <v>681</v>
      </c>
      <c r="F26" s="2" t="s">
        <v>682</v>
      </c>
      <c r="G26" s="2" t="s">
        <v>108</v>
      </c>
      <c r="H26" s="3" t="s">
        <v>18</v>
      </c>
      <c r="I26" s="2" t="s">
        <v>19</v>
      </c>
      <c r="J26" s="2" t="s">
        <v>683</v>
      </c>
    </row>
    <row r="27" ht="22.5" customHeight="1">
      <c r="A27" s="2" t="s">
        <v>684</v>
      </c>
      <c r="B27" s="2" t="s">
        <v>108</v>
      </c>
      <c r="C27" s="2" t="s">
        <v>685</v>
      </c>
      <c r="D27" s="2" t="s">
        <v>578</v>
      </c>
      <c r="E27" s="2" t="s">
        <v>573</v>
      </c>
      <c r="F27" s="2" t="s">
        <v>686</v>
      </c>
      <c r="G27" s="2" t="s">
        <v>108</v>
      </c>
      <c r="H27" s="3" t="s">
        <v>18</v>
      </c>
      <c r="I27" s="2" t="s">
        <v>19</v>
      </c>
      <c r="J27" s="2" t="s">
        <v>687</v>
      </c>
    </row>
    <row r="28" ht="22.5" customHeight="1">
      <c r="A28" s="2" t="s">
        <v>688</v>
      </c>
      <c r="B28" s="2" t="s">
        <v>108</v>
      </c>
      <c r="C28" s="2" t="s">
        <v>689</v>
      </c>
      <c r="D28" s="2" t="s">
        <v>680</v>
      </c>
      <c r="E28" s="2" t="s">
        <v>573</v>
      </c>
      <c r="F28" s="2" t="s">
        <v>690</v>
      </c>
      <c r="G28" s="2" t="s">
        <v>156</v>
      </c>
      <c r="H28" s="3" t="s">
        <v>18</v>
      </c>
      <c r="I28" s="2" t="s">
        <v>19</v>
      </c>
      <c r="J28" s="2" t="s">
        <v>691</v>
      </c>
    </row>
    <row r="29" ht="22.5" customHeight="1">
      <c r="A29" s="2" t="s">
        <v>692</v>
      </c>
      <c r="B29" s="2" t="s">
        <v>693</v>
      </c>
      <c r="C29" s="2" t="s">
        <v>694</v>
      </c>
      <c r="D29" s="2" t="s">
        <v>695</v>
      </c>
      <c r="E29" s="2" t="s">
        <v>573</v>
      </c>
      <c r="F29" s="2" t="s">
        <v>696</v>
      </c>
      <c r="G29" s="2" t="s">
        <v>697</v>
      </c>
      <c r="H29" s="3" t="s">
        <v>18</v>
      </c>
      <c r="I29" s="2" t="s">
        <v>19</v>
      </c>
      <c r="J29" s="2" t="s">
        <v>698</v>
      </c>
    </row>
    <row r="30" ht="22.5" customHeight="1">
      <c r="A30" s="2" t="s">
        <v>194</v>
      </c>
      <c r="B30" s="2" t="s">
        <v>193</v>
      </c>
      <c r="C30" s="2" t="s">
        <v>699</v>
      </c>
      <c r="D30" s="2" t="s">
        <v>88</v>
      </c>
      <c r="E30" s="2" t="s">
        <v>664</v>
      </c>
      <c r="F30" s="2" t="s">
        <v>700</v>
      </c>
      <c r="G30" s="2" t="s">
        <v>193</v>
      </c>
      <c r="H30" s="3" t="s">
        <v>18</v>
      </c>
      <c r="I30" s="2" t="s">
        <v>19</v>
      </c>
      <c r="J30" s="2" t="s">
        <v>701</v>
      </c>
    </row>
    <row r="31" ht="22.5" customHeight="1">
      <c r="A31" s="2" t="s">
        <v>202</v>
      </c>
      <c r="B31" s="2" t="s">
        <v>193</v>
      </c>
      <c r="C31" s="2" t="s">
        <v>702</v>
      </c>
      <c r="D31" s="2" t="s">
        <v>703</v>
      </c>
      <c r="E31" s="2" t="s">
        <v>664</v>
      </c>
      <c r="F31" s="2" t="s">
        <v>704</v>
      </c>
      <c r="G31" s="2" t="s">
        <v>193</v>
      </c>
      <c r="H31" s="3" t="s">
        <v>18</v>
      </c>
      <c r="I31" s="2" t="s">
        <v>19</v>
      </c>
      <c r="J31" s="2" t="s">
        <v>705</v>
      </c>
    </row>
    <row r="32" ht="22.5" customHeight="1">
      <c r="A32" s="2" t="s">
        <v>211</v>
      </c>
      <c r="B32" s="2" t="s">
        <v>193</v>
      </c>
      <c r="C32" s="2" t="s">
        <v>706</v>
      </c>
      <c r="D32" s="2" t="s">
        <v>114</v>
      </c>
      <c r="E32" s="2" t="s">
        <v>573</v>
      </c>
      <c r="F32" s="2" t="s">
        <v>707</v>
      </c>
      <c r="G32" s="2" t="s">
        <v>193</v>
      </c>
      <c r="H32" s="3" t="s">
        <v>18</v>
      </c>
      <c r="I32" s="2" t="s">
        <v>19</v>
      </c>
      <c r="J32" s="2" t="s">
        <v>708</v>
      </c>
    </row>
    <row r="33" ht="22.5" customHeight="1">
      <c r="A33" s="2" t="s">
        <v>709</v>
      </c>
      <c r="B33" s="2" t="s">
        <v>243</v>
      </c>
      <c r="C33" s="2" t="s">
        <v>710</v>
      </c>
      <c r="D33" s="2" t="s">
        <v>221</v>
      </c>
      <c r="E33" s="2" t="s">
        <v>573</v>
      </c>
      <c r="F33" s="2" t="s">
        <v>711</v>
      </c>
      <c r="G33" s="2" t="s">
        <v>243</v>
      </c>
      <c r="H33" s="3" t="s">
        <v>18</v>
      </c>
      <c r="I33" s="2" t="s">
        <v>19</v>
      </c>
      <c r="J33" s="2" t="s">
        <v>712</v>
      </c>
    </row>
    <row r="34" ht="22.5" customHeight="1">
      <c r="A34" s="2" t="s">
        <v>713</v>
      </c>
      <c r="B34" s="2" t="s">
        <v>714</v>
      </c>
      <c r="C34" s="2" t="s">
        <v>715</v>
      </c>
      <c r="D34" s="2" t="s">
        <v>716</v>
      </c>
      <c r="E34" s="2" t="s">
        <v>573</v>
      </c>
      <c r="F34" s="2" t="s">
        <v>711</v>
      </c>
      <c r="G34" s="2" t="s">
        <v>243</v>
      </c>
      <c r="H34" s="3" t="s">
        <v>18</v>
      </c>
      <c r="I34" s="2" t="s">
        <v>19</v>
      </c>
      <c r="J34" s="2" t="s">
        <v>717</v>
      </c>
    </row>
    <row r="35" ht="22.5" customHeight="1">
      <c r="A35" s="2" t="s">
        <v>718</v>
      </c>
      <c r="B35" s="2" t="s">
        <v>714</v>
      </c>
      <c r="C35" s="2" t="s">
        <v>719</v>
      </c>
      <c r="D35" s="2" t="s">
        <v>720</v>
      </c>
      <c r="E35" s="2" t="s">
        <v>664</v>
      </c>
      <c r="F35" s="2" t="s">
        <v>721</v>
      </c>
      <c r="G35" s="2" t="s">
        <v>722</v>
      </c>
      <c r="H35" s="3" t="s">
        <v>18</v>
      </c>
      <c r="I35" s="2" t="s">
        <v>19</v>
      </c>
      <c r="J35" s="2" t="s">
        <v>723</v>
      </c>
    </row>
    <row r="36" ht="22.5" customHeight="1">
      <c r="A36" s="2" t="s">
        <v>724</v>
      </c>
      <c r="B36" s="2" t="s">
        <v>714</v>
      </c>
      <c r="C36" s="2" t="s">
        <v>725</v>
      </c>
      <c r="D36" s="2" t="s">
        <v>663</v>
      </c>
      <c r="E36" s="2" t="s">
        <v>664</v>
      </c>
      <c r="F36" s="2" t="s">
        <v>225</v>
      </c>
      <c r="G36" s="2" t="s">
        <v>220</v>
      </c>
      <c r="H36" s="3" t="s">
        <v>18</v>
      </c>
      <c r="I36" s="2" t="s">
        <v>19</v>
      </c>
      <c r="J36" s="2" t="s">
        <v>726</v>
      </c>
    </row>
    <row r="37" ht="22.5" customHeight="1">
      <c r="A37" s="2" t="s">
        <v>233</v>
      </c>
      <c r="B37" s="2" t="s">
        <v>714</v>
      </c>
      <c r="C37" s="2" t="s">
        <v>727</v>
      </c>
      <c r="D37" s="2" t="s">
        <v>114</v>
      </c>
      <c r="E37" s="2" t="s">
        <v>573</v>
      </c>
      <c r="F37" s="2" t="s">
        <v>728</v>
      </c>
      <c r="G37" s="2" t="s">
        <v>220</v>
      </c>
      <c r="H37" s="3" t="s">
        <v>18</v>
      </c>
      <c r="I37" s="2" t="s">
        <v>19</v>
      </c>
      <c r="J37" s="2" t="s">
        <v>729</v>
      </c>
    </row>
    <row r="38" ht="22.5" customHeight="1">
      <c r="A38" s="2" t="s">
        <v>238</v>
      </c>
      <c r="B38" s="2" t="s">
        <v>714</v>
      </c>
      <c r="C38" s="2" t="s">
        <v>730</v>
      </c>
      <c r="D38" s="2" t="s">
        <v>731</v>
      </c>
      <c r="E38" s="2" t="s">
        <v>664</v>
      </c>
      <c r="F38" s="2" t="s">
        <v>732</v>
      </c>
      <c r="G38" s="2" t="s">
        <v>220</v>
      </c>
      <c r="H38" s="3" t="s">
        <v>39</v>
      </c>
      <c r="I38" s="2" t="s">
        <v>19</v>
      </c>
      <c r="J38" s="2" t="s">
        <v>733</v>
      </c>
    </row>
    <row r="39" ht="22.5" customHeight="1">
      <c r="A39" s="2" t="s">
        <v>734</v>
      </c>
      <c r="B39" s="2" t="s">
        <v>714</v>
      </c>
      <c r="C39" s="2" t="s">
        <v>735</v>
      </c>
      <c r="D39" s="2" t="s">
        <v>736</v>
      </c>
      <c r="E39" s="2" t="s">
        <v>573</v>
      </c>
      <c r="F39" s="2" t="s">
        <v>737</v>
      </c>
      <c r="G39" s="2" t="s">
        <v>722</v>
      </c>
      <c r="H39" s="3" t="s">
        <v>18</v>
      </c>
      <c r="I39" s="2" t="s">
        <v>19</v>
      </c>
      <c r="J39" s="2" t="s">
        <v>738</v>
      </c>
    </row>
    <row r="40" ht="22.5" customHeight="1">
      <c r="A40" s="2" t="s">
        <v>739</v>
      </c>
      <c r="B40" s="2" t="s">
        <v>250</v>
      </c>
      <c r="C40" s="2" t="s">
        <v>740</v>
      </c>
      <c r="D40" s="2" t="s">
        <v>114</v>
      </c>
      <c r="E40" s="2" t="s">
        <v>573</v>
      </c>
      <c r="F40" s="2" t="s">
        <v>741</v>
      </c>
      <c r="G40" s="2" t="s">
        <v>250</v>
      </c>
      <c r="H40" s="3" t="s">
        <v>18</v>
      </c>
      <c r="I40" s="2" t="s">
        <v>19</v>
      </c>
      <c r="J40" s="2" t="s">
        <v>742</v>
      </c>
    </row>
    <row r="41" ht="22.5" customHeight="1">
      <c r="A41" s="2" t="s">
        <v>258</v>
      </c>
      <c r="B41" s="2" t="s">
        <v>250</v>
      </c>
      <c r="C41" s="2" t="s">
        <v>743</v>
      </c>
      <c r="D41" s="2" t="s">
        <v>221</v>
      </c>
      <c r="E41" s="2" t="s">
        <v>579</v>
      </c>
      <c r="F41" s="2" t="s">
        <v>744</v>
      </c>
      <c r="G41" s="2" t="s">
        <v>250</v>
      </c>
      <c r="H41" s="3" t="s">
        <v>18</v>
      </c>
      <c r="I41" s="2" t="s">
        <v>19</v>
      </c>
      <c r="J41" s="2" t="s">
        <v>745</v>
      </c>
    </row>
    <row r="42" ht="22.5" customHeight="1">
      <c r="A42" s="2" t="s">
        <v>263</v>
      </c>
      <c r="B42" s="2" t="s">
        <v>250</v>
      </c>
      <c r="C42" s="2" t="s">
        <v>746</v>
      </c>
      <c r="D42" s="2" t="s">
        <v>663</v>
      </c>
      <c r="E42" s="2" t="s">
        <v>664</v>
      </c>
      <c r="F42" s="2" t="s">
        <v>747</v>
      </c>
      <c r="G42" s="2" t="s">
        <v>250</v>
      </c>
      <c r="H42" s="3" t="s">
        <v>18</v>
      </c>
      <c r="I42" s="2" t="s">
        <v>19</v>
      </c>
      <c r="J42" s="2" t="s">
        <v>748</v>
      </c>
    </row>
    <row r="43" ht="22.5" customHeight="1">
      <c r="A43" s="2" t="s">
        <v>273</v>
      </c>
      <c r="B43" s="2" t="s">
        <v>250</v>
      </c>
      <c r="C43" s="2" t="s">
        <v>749</v>
      </c>
      <c r="D43" s="2" t="s">
        <v>221</v>
      </c>
      <c r="E43" s="2" t="s">
        <v>579</v>
      </c>
      <c r="F43" s="2" t="s">
        <v>750</v>
      </c>
      <c r="G43" s="2" t="s">
        <v>250</v>
      </c>
      <c r="H43" s="3" t="s">
        <v>39</v>
      </c>
      <c r="I43" s="2" t="s">
        <v>19</v>
      </c>
      <c r="J43" s="2" t="s">
        <v>751</v>
      </c>
    </row>
    <row r="44" ht="22.5" customHeight="1">
      <c r="A44" s="2" t="s">
        <v>752</v>
      </c>
      <c r="B44" s="2" t="s">
        <v>250</v>
      </c>
      <c r="C44" s="2" t="s">
        <v>753</v>
      </c>
      <c r="D44" s="2" t="s">
        <v>754</v>
      </c>
      <c r="E44" s="2" t="s">
        <v>573</v>
      </c>
      <c r="F44" s="2" t="s">
        <v>755</v>
      </c>
      <c r="G44" s="2" t="s">
        <v>282</v>
      </c>
      <c r="H44" s="3" t="s">
        <v>18</v>
      </c>
      <c r="I44" s="2" t="s">
        <v>19</v>
      </c>
      <c r="J44" s="2" t="s">
        <v>756</v>
      </c>
    </row>
    <row r="45" ht="22.5" customHeight="1">
      <c r="A45" s="2" t="s">
        <v>757</v>
      </c>
      <c r="B45" s="2" t="s">
        <v>282</v>
      </c>
      <c r="C45" s="2" t="s">
        <v>758</v>
      </c>
      <c r="D45" s="2" t="s">
        <v>759</v>
      </c>
      <c r="E45" s="2" t="s">
        <v>573</v>
      </c>
      <c r="F45" s="2" t="s">
        <v>760</v>
      </c>
      <c r="G45" s="2" t="s">
        <v>282</v>
      </c>
      <c r="H45" s="3" t="s">
        <v>18</v>
      </c>
      <c r="I45" s="2" t="s">
        <v>19</v>
      </c>
      <c r="J45" s="2" t="s">
        <v>761</v>
      </c>
    </row>
    <row r="46" ht="22.5" customHeight="1">
      <c r="A46" s="2" t="s">
        <v>762</v>
      </c>
      <c r="B46" s="2" t="s">
        <v>763</v>
      </c>
      <c r="C46" s="2" t="s">
        <v>764</v>
      </c>
      <c r="D46" s="2" t="s">
        <v>114</v>
      </c>
      <c r="E46" s="2" t="s">
        <v>573</v>
      </c>
      <c r="F46" s="2" t="s">
        <v>765</v>
      </c>
      <c r="G46" s="2" t="s">
        <v>766</v>
      </c>
      <c r="H46" s="3" t="s">
        <v>39</v>
      </c>
      <c r="I46" s="2" t="s">
        <v>19</v>
      </c>
      <c r="J46" s="2" t="s">
        <v>767</v>
      </c>
    </row>
    <row r="47" ht="22.5" customHeight="1">
      <c r="A47" s="2" t="s">
        <v>768</v>
      </c>
      <c r="B47" s="2" t="s">
        <v>769</v>
      </c>
      <c r="C47" s="2" t="s">
        <v>770</v>
      </c>
      <c r="D47" s="2" t="s">
        <v>221</v>
      </c>
      <c r="E47" s="2" t="s">
        <v>579</v>
      </c>
      <c r="F47" s="2" t="s">
        <v>771</v>
      </c>
      <c r="G47" s="2" t="s">
        <v>772</v>
      </c>
      <c r="H47" s="3" t="s">
        <v>18</v>
      </c>
      <c r="I47" s="2" t="s">
        <v>19</v>
      </c>
      <c r="J47" s="2" t="s">
        <v>773</v>
      </c>
    </row>
    <row r="48" ht="22.5" customHeight="1">
      <c r="A48" s="2" t="s">
        <v>774</v>
      </c>
      <c r="B48" s="2" t="s">
        <v>775</v>
      </c>
      <c r="C48" s="2" t="s">
        <v>776</v>
      </c>
      <c r="D48" s="2" t="s">
        <v>777</v>
      </c>
      <c r="E48" s="2" t="s">
        <v>573</v>
      </c>
      <c r="F48" s="2" t="s">
        <v>778</v>
      </c>
      <c r="G48" s="2" t="s">
        <v>779</v>
      </c>
      <c r="H48" s="3" t="s">
        <v>39</v>
      </c>
      <c r="I48" s="2" t="s">
        <v>19</v>
      </c>
      <c r="J48" s="2" t="s">
        <v>780</v>
      </c>
    </row>
    <row r="49" ht="22.5" customHeight="1">
      <c r="A49" s="2" t="s">
        <v>781</v>
      </c>
      <c r="B49" s="2" t="s">
        <v>782</v>
      </c>
      <c r="C49" s="2" t="s">
        <v>783</v>
      </c>
      <c r="D49" s="2" t="s">
        <v>784</v>
      </c>
      <c r="E49" s="2" t="s">
        <v>579</v>
      </c>
      <c r="F49" s="2" t="s">
        <v>423</v>
      </c>
      <c r="G49" s="2" t="s">
        <v>785</v>
      </c>
      <c r="H49" s="3" t="s">
        <v>39</v>
      </c>
      <c r="I49" s="2" t="s">
        <v>19</v>
      </c>
      <c r="J49" s="2" t="s">
        <v>786</v>
      </c>
    </row>
    <row r="50" ht="22.5" customHeight="1">
      <c r="A50" s="2" t="s">
        <v>787</v>
      </c>
      <c r="B50" s="2" t="s">
        <v>307</v>
      </c>
      <c r="C50" s="2" t="s">
        <v>788</v>
      </c>
      <c r="D50" s="2" t="s">
        <v>256</v>
      </c>
      <c r="E50" s="2" t="s">
        <v>573</v>
      </c>
      <c r="F50" s="2" t="s">
        <v>304</v>
      </c>
      <c r="G50" s="2" t="s">
        <v>307</v>
      </c>
      <c r="H50" s="3" t="s">
        <v>18</v>
      </c>
      <c r="I50" s="2" t="s">
        <v>19</v>
      </c>
      <c r="J50" s="2" t="s">
        <v>789</v>
      </c>
    </row>
    <row r="51" ht="22.5" customHeight="1">
      <c r="A51" s="2" t="s">
        <v>314</v>
      </c>
      <c r="B51" s="2" t="s">
        <v>307</v>
      </c>
      <c r="C51" s="2" t="s">
        <v>790</v>
      </c>
      <c r="D51" s="2" t="s">
        <v>256</v>
      </c>
      <c r="E51" s="2" t="s">
        <v>573</v>
      </c>
      <c r="F51" s="2" t="s">
        <v>791</v>
      </c>
      <c r="G51" s="2" t="s">
        <v>307</v>
      </c>
      <c r="H51" s="3" t="s">
        <v>39</v>
      </c>
      <c r="I51" s="2" t="s">
        <v>19</v>
      </c>
      <c r="J51" s="2" t="s">
        <v>792</v>
      </c>
    </row>
    <row r="52" ht="22.5" customHeight="1">
      <c r="A52" s="2" t="s">
        <v>323</v>
      </c>
      <c r="B52" s="2" t="s">
        <v>307</v>
      </c>
      <c r="C52" s="2" t="s">
        <v>793</v>
      </c>
      <c r="D52" s="2" t="s">
        <v>663</v>
      </c>
      <c r="E52" s="2" t="s">
        <v>664</v>
      </c>
      <c r="F52" s="2" t="s">
        <v>320</v>
      </c>
      <c r="G52" s="2" t="s">
        <v>307</v>
      </c>
      <c r="H52" s="3" t="s">
        <v>39</v>
      </c>
      <c r="I52" s="2" t="s">
        <v>19</v>
      </c>
      <c r="J52" s="2" t="s">
        <v>794</v>
      </c>
    </row>
    <row r="53" ht="22.5" customHeight="1">
      <c r="A53" s="2" t="s">
        <v>795</v>
      </c>
      <c r="B53" s="2" t="s">
        <v>307</v>
      </c>
      <c r="C53" s="2" t="s">
        <v>796</v>
      </c>
      <c r="D53" s="2" t="s">
        <v>256</v>
      </c>
      <c r="E53" s="2" t="s">
        <v>573</v>
      </c>
      <c r="F53" s="2" t="s">
        <v>325</v>
      </c>
      <c r="G53" s="2" t="s">
        <v>327</v>
      </c>
      <c r="H53" s="3" t="s">
        <v>51</v>
      </c>
      <c r="I53" s="2" t="s">
        <v>19</v>
      </c>
      <c r="J53" s="2" t="s">
        <v>797</v>
      </c>
    </row>
    <row r="54" ht="22.5" customHeight="1">
      <c r="A54" s="2" t="s">
        <v>798</v>
      </c>
      <c r="B54" s="2" t="s">
        <v>334</v>
      </c>
      <c r="C54" s="2" t="s">
        <v>799</v>
      </c>
      <c r="D54" s="2" t="s">
        <v>800</v>
      </c>
      <c r="E54" s="2" t="s">
        <v>573</v>
      </c>
      <c r="F54" s="2" t="s">
        <v>554</v>
      </c>
      <c r="G54" s="2" t="s">
        <v>801</v>
      </c>
      <c r="H54" s="3" t="s">
        <v>18</v>
      </c>
      <c r="I54" s="2" t="s">
        <v>19</v>
      </c>
      <c r="J54" s="2" t="s">
        <v>802</v>
      </c>
    </row>
    <row r="55" ht="22.5" customHeight="1">
      <c r="A55" s="2" t="s">
        <v>803</v>
      </c>
      <c r="B55" s="2" t="s">
        <v>334</v>
      </c>
      <c r="C55" s="2" t="s">
        <v>804</v>
      </c>
      <c r="D55" s="2" t="s">
        <v>805</v>
      </c>
      <c r="E55" s="2" t="s">
        <v>573</v>
      </c>
      <c r="F55" s="2" t="s">
        <v>806</v>
      </c>
      <c r="G55" s="2" t="s">
        <v>334</v>
      </c>
      <c r="H55" s="3" t="s">
        <v>18</v>
      </c>
      <c r="I55" s="2" t="s">
        <v>19</v>
      </c>
      <c r="J55" s="2" t="s">
        <v>807</v>
      </c>
    </row>
    <row r="56" ht="22.5" customHeight="1">
      <c r="A56" s="2" t="s">
        <v>808</v>
      </c>
      <c r="B56" s="2" t="s">
        <v>334</v>
      </c>
      <c r="C56" s="2" t="s">
        <v>809</v>
      </c>
      <c r="D56" s="2" t="s">
        <v>810</v>
      </c>
      <c r="E56" s="2" t="s">
        <v>573</v>
      </c>
      <c r="F56" s="2" t="s">
        <v>339</v>
      </c>
      <c r="G56" s="2" t="s">
        <v>811</v>
      </c>
      <c r="H56" s="3" t="s">
        <v>18</v>
      </c>
      <c r="I56" s="2" t="s">
        <v>19</v>
      </c>
      <c r="J56" s="2" t="s">
        <v>812</v>
      </c>
    </row>
    <row r="57" ht="22.5" customHeight="1">
      <c r="A57" s="2" t="s">
        <v>813</v>
      </c>
      <c r="B57" s="2" t="s">
        <v>334</v>
      </c>
      <c r="C57" s="2" t="s">
        <v>814</v>
      </c>
      <c r="D57" s="2" t="s">
        <v>815</v>
      </c>
      <c r="E57" s="2" t="s">
        <v>573</v>
      </c>
      <c r="F57" s="2" t="s">
        <v>351</v>
      </c>
      <c r="G57" s="2" t="s">
        <v>816</v>
      </c>
      <c r="H57" s="3" t="s">
        <v>18</v>
      </c>
      <c r="I57" s="2" t="s">
        <v>19</v>
      </c>
      <c r="J57" s="2" t="s">
        <v>817</v>
      </c>
    </row>
    <row r="58" ht="22.5" customHeight="1">
      <c r="A58" s="2" t="s">
        <v>818</v>
      </c>
      <c r="B58" s="2" t="s">
        <v>341</v>
      </c>
      <c r="C58" s="2" t="s">
        <v>819</v>
      </c>
      <c r="D58" s="2" t="s">
        <v>805</v>
      </c>
      <c r="E58" s="2" t="s">
        <v>573</v>
      </c>
      <c r="F58" s="2" t="s">
        <v>554</v>
      </c>
      <c r="G58" s="2" t="s">
        <v>341</v>
      </c>
      <c r="H58" s="3" t="s">
        <v>18</v>
      </c>
      <c r="I58" s="2" t="s">
        <v>19</v>
      </c>
      <c r="J58" s="2" t="s">
        <v>820</v>
      </c>
    </row>
    <row r="59" ht="22.5" customHeight="1">
      <c r="A59" s="18">
        <v>54.0</v>
      </c>
      <c r="B59" s="18" t="s">
        <v>440</v>
      </c>
      <c r="C59" s="18" t="s">
        <v>821</v>
      </c>
      <c r="D59" s="18" t="s">
        <v>822</v>
      </c>
      <c r="E59" s="18" t="s">
        <v>663</v>
      </c>
      <c r="F59" s="18" t="s">
        <v>664</v>
      </c>
      <c r="G59" s="18" t="s">
        <v>823</v>
      </c>
      <c r="H59" s="25" t="s">
        <v>438</v>
      </c>
      <c r="I59" s="18" t="s">
        <v>18</v>
      </c>
      <c r="J59" s="18" t="s">
        <v>824</v>
      </c>
    </row>
    <row r="60" ht="22.5" customHeight="1">
      <c r="A60" s="18">
        <v>55.0</v>
      </c>
      <c r="B60" s="18" t="s">
        <v>825</v>
      </c>
      <c r="C60" s="18" t="s">
        <v>826</v>
      </c>
      <c r="D60" s="18" t="s">
        <v>827</v>
      </c>
      <c r="E60" s="18" t="s">
        <v>828</v>
      </c>
      <c r="F60" s="18" t="s">
        <v>664</v>
      </c>
      <c r="G60" s="18" t="s">
        <v>829</v>
      </c>
      <c r="H60" s="25" t="s">
        <v>444</v>
      </c>
      <c r="I60" s="18" t="s">
        <v>18</v>
      </c>
      <c r="J60" s="18" t="s">
        <v>830</v>
      </c>
    </row>
    <row r="61" ht="22.5" customHeight="1">
      <c r="A61" s="18">
        <v>56.0</v>
      </c>
      <c r="B61" s="18" t="s">
        <v>452</v>
      </c>
      <c r="C61" s="18" t="s">
        <v>831</v>
      </c>
      <c r="D61" s="18" t="s">
        <v>832</v>
      </c>
      <c r="E61" s="18" t="s">
        <v>680</v>
      </c>
      <c r="F61" s="18" t="s">
        <v>573</v>
      </c>
      <c r="G61" s="18" t="s">
        <v>833</v>
      </c>
      <c r="H61" s="25" t="s">
        <v>450</v>
      </c>
      <c r="I61" s="18" t="s">
        <v>18</v>
      </c>
      <c r="J61" s="18" t="s">
        <v>834</v>
      </c>
    </row>
    <row r="62" ht="22.5" customHeight="1">
      <c r="A62" s="18">
        <v>57.0</v>
      </c>
      <c r="B62" s="18" t="s">
        <v>457</v>
      </c>
      <c r="C62" s="18" t="s">
        <v>831</v>
      </c>
      <c r="D62" s="18" t="s">
        <v>835</v>
      </c>
      <c r="E62" s="18" t="s">
        <v>680</v>
      </c>
      <c r="F62" s="18" t="s">
        <v>573</v>
      </c>
      <c r="G62" s="18" t="s">
        <v>836</v>
      </c>
      <c r="H62" s="25" t="s">
        <v>450</v>
      </c>
      <c r="I62" s="18" t="s">
        <v>18</v>
      </c>
      <c r="J62" s="18" t="s">
        <v>837</v>
      </c>
    </row>
    <row r="63" ht="22.5" customHeight="1">
      <c r="A63" s="18">
        <v>58.0</v>
      </c>
      <c r="B63" s="18" t="s">
        <v>463</v>
      </c>
      <c r="C63" s="18" t="s">
        <v>838</v>
      </c>
      <c r="D63" s="18" t="s">
        <v>839</v>
      </c>
      <c r="E63" s="18" t="s">
        <v>828</v>
      </c>
      <c r="F63" s="18" t="s">
        <v>664</v>
      </c>
      <c r="G63" s="18" t="s">
        <v>840</v>
      </c>
      <c r="H63" s="25" t="s">
        <v>461</v>
      </c>
      <c r="I63" s="18" t="s">
        <v>18</v>
      </c>
      <c r="J63" s="18" t="s">
        <v>841</v>
      </c>
    </row>
    <row r="64" ht="22.5" customHeight="1">
      <c r="A64" s="18">
        <v>59.0</v>
      </c>
      <c r="B64" s="18" t="s">
        <v>480</v>
      </c>
      <c r="C64" s="18" t="s">
        <v>842</v>
      </c>
      <c r="D64" s="18" t="s">
        <v>843</v>
      </c>
      <c r="E64" s="18" t="s">
        <v>844</v>
      </c>
      <c r="F64" s="18" t="s">
        <v>573</v>
      </c>
      <c r="G64" s="18" t="s">
        <v>845</v>
      </c>
      <c r="H64" s="25" t="s">
        <v>478</v>
      </c>
      <c r="I64" s="18" t="s">
        <v>18</v>
      </c>
      <c r="J64" s="18" t="s">
        <v>846</v>
      </c>
    </row>
    <row r="65" ht="22.5" customHeight="1">
      <c r="A65" s="18">
        <v>60.0</v>
      </c>
      <c r="B65" s="18" t="s">
        <v>847</v>
      </c>
      <c r="C65" s="18" t="s">
        <v>848</v>
      </c>
      <c r="D65" s="18" t="s">
        <v>849</v>
      </c>
      <c r="E65" s="18" t="s">
        <v>754</v>
      </c>
      <c r="F65" s="18" t="s">
        <v>573</v>
      </c>
      <c r="G65" s="18" t="s">
        <v>850</v>
      </c>
      <c r="H65" s="25" t="s">
        <v>851</v>
      </c>
      <c r="I65" s="18" t="s">
        <v>18</v>
      </c>
      <c r="J65" s="18" t="s">
        <v>852</v>
      </c>
    </row>
    <row r="66" ht="22.5" customHeight="1">
      <c r="A66" s="18">
        <v>61.0</v>
      </c>
      <c r="B66" s="18" t="s">
        <v>493</v>
      </c>
      <c r="C66" s="18" t="s">
        <v>491</v>
      </c>
      <c r="D66" s="18" t="s">
        <v>853</v>
      </c>
      <c r="E66" s="18" t="s">
        <v>854</v>
      </c>
      <c r="F66" s="18" t="s">
        <v>573</v>
      </c>
      <c r="G66" s="18" t="s">
        <v>855</v>
      </c>
      <c r="H66" s="25" t="s">
        <v>491</v>
      </c>
      <c r="I66" s="18" t="s">
        <v>51</v>
      </c>
      <c r="J66" s="18" t="s">
        <v>856</v>
      </c>
    </row>
    <row r="67" ht="22.5" customHeight="1">
      <c r="A67" s="2" t="s">
        <v>366</v>
      </c>
      <c r="B67" s="2" t="s">
        <v>363</v>
      </c>
      <c r="C67" s="2" t="s">
        <v>857</v>
      </c>
      <c r="D67" s="2" t="s">
        <v>858</v>
      </c>
      <c r="E67" s="2" t="s">
        <v>664</v>
      </c>
      <c r="F67" s="2" t="s">
        <v>859</v>
      </c>
      <c r="G67" s="2" t="s">
        <v>363</v>
      </c>
      <c r="H67" s="3" t="s">
        <v>18</v>
      </c>
      <c r="I67" s="2" t="s">
        <v>19</v>
      </c>
      <c r="J67" s="2" t="s">
        <v>860</v>
      </c>
    </row>
    <row r="68" ht="22.5" customHeight="1">
      <c r="A68" s="2" t="s">
        <v>375</v>
      </c>
      <c r="B68" s="2" t="s">
        <v>373</v>
      </c>
      <c r="C68" s="2" t="s">
        <v>861</v>
      </c>
      <c r="D68" s="2" t="s">
        <v>256</v>
      </c>
      <c r="E68" s="2" t="s">
        <v>573</v>
      </c>
      <c r="F68" s="2" t="s">
        <v>862</v>
      </c>
      <c r="G68" s="2" t="s">
        <v>373</v>
      </c>
      <c r="H68" s="3" t="s">
        <v>18</v>
      </c>
      <c r="I68" s="2" t="s">
        <v>19</v>
      </c>
      <c r="J68" s="2" t="s">
        <v>863</v>
      </c>
    </row>
    <row r="69" ht="22.5" customHeight="1">
      <c r="A69" s="2" t="s">
        <v>864</v>
      </c>
      <c r="B69" s="2" t="s">
        <v>390</v>
      </c>
      <c r="C69" s="2" t="s">
        <v>865</v>
      </c>
      <c r="D69" s="2" t="s">
        <v>736</v>
      </c>
      <c r="E69" s="2" t="s">
        <v>573</v>
      </c>
      <c r="F69" s="2" t="s">
        <v>866</v>
      </c>
      <c r="G69" s="2" t="s">
        <v>390</v>
      </c>
      <c r="H69" s="3" t="s">
        <v>51</v>
      </c>
      <c r="I69" s="2" t="s">
        <v>19</v>
      </c>
      <c r="J69" s="2" t="s">
        <v>867</v>
      </c>
    </row>
    <row r="70" ht="22.5" customHeight="1">
      <c r="A70" s="2" t="s">
        <v>868</v>
      </c>
      <c r="B70" s="2" t="s">
        <v>16</v>
      </c>
      <c r="C70" s="2" t="s">
        <v>869</v>
      </c>
      <c r="D70" s="2" t="s">
        <v>16</v>
      </c>
      <c r="E70" s="2" t="s">
        <v>573</v>
      </c>
      <c r="F70" s="2" t="s">
        <v>870</v>
      </c>
      <c r="G70" s="2" t="s">
        <v>16</v>
      </c>
      <c r="H70" s="3" t="s">
        <v>18</v>
      </c>
      <c r="I70" s="2" t="s">
        <v>19</v>
      </c>
      <c r="J70" s="2" t="s">
        <v>871</v>
      </c>
    </row>
    <row r="71" ht="22.5" customHeight="1">
      <c r="A71" s="2" t="s">
        <v>44</v>
      </c>
      <c r="B71" s="2" t="s">
        <v>872</v>
      </c>
      <c r="C71" s="2" t="s">
        <v>873</v>
      </c>
      <c r="D71" s="2" t="s">
        <v>874</v>
      </c>
      <c r="E71" s="2" t="s">
        <v>573</v>
      </c>
      <c r="F71" s="2" t="s">
        <v>875</v>
      </c>
      <c r="G71" s="2" t="s">
        <v>876</v>
      </c>
      <c r="H71" s="3" t="s">
        <v>18</v>
      </c>
      <c r="I71" s="2" t="s">
        <v>19</v>
      </c>
      <c r="J71" s="2" t="s">
        <v>877</v>
      </c>
    </row>
    <row r="72" ht="22.5" customHeight="1">
      <c r="A72" s="2" t="s">
        <v>878</v>
      </c>
      <c r="B72" s="2" t="s">
        <v>816</v>
      </c>
      <c r="C72" s="2" t="s">
        <v>879</v>
      </c>
      <c r="D72" s="2" t="s">
        <v>16</v>
      </c>
      <c r="E72" s="2" t="s">
        <v>573</v>
      </c>
      <c r="F72" s="2" t="s">
        <v>880</v>
      </c>
      <c r="G72" s="2" t="s">
        <v>816</v>
      </c>
      <c r="H72" s="3" t="s">
        <v>18</v>
      </c>
      <c r="I72" s="2" t="s">
        <v>19</v>
      </c>
      <c r="J72" s="2" t="s">
        <v>881</v>
      </c>
    </row>
    <row r="73" ht="22.5" customHeight="1">
      <c r="A73" s="2"/>
      <c r="B73" s="2"/>
      <c r="C73" s="2"/>
      <c r="D73" s="2"/>
      <c r="E73" s="2"/>
      <c r="F73" s="2"/>
      <c r="G73" s="2"/>
      <c r="H73" s="4"/>
      <c r="I73" s="2"/>
      <c r="J73" s="2"/>
    </row>
    <row r="74" ht="22.5" customHeight="1">
      <c r="A74" s="2"/>
      <c r="B74" s="2"/>
      <c r="C74" s="2"/>
      <c r="D74" s="2"/>
      <c r="E74" s="2"/>
      <c r="F74" s="2"/>
      <c r="G74" s="2"/>
      <c r="H74" s="4"/>
      <c r="I74" s="2"/>
      <c r="J74" s="2"/>
    </row>
    <row r="75" ht="22.5" customHeight="1">
      <c r="A75" s="2" t="s">
        <v>656</v>
      </c>
      <c r="B75" s="2" t="s">
        <v>657</v>
      </c>
      <c r="C75" s="2" t="s">
        <v>658</v>
      </c>
      <c r="D75" s="2" t="s">
        <v>654</v>
      </c>
      <c r="E75" s="2" t="s">
        <v>573</v>
      </c>
      <c r="F75" s="2" t="s">
        <v>659</v>
      </c>
      <c r="G75" s="2" t="s">
        <v>640</v>
      </c>
      <c r="H75" s="3" t="s">
        <v>18</v>
      </c>
      <c r="I75" s="2" t="s">
        <v>19</v>
      </c>
      <c r="J75" s="2" t="s">
        <v>660</v>
      </c>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sheetData>
  <dataValidations>
    <dataValidation type="list" allowBlank="1" showDropDown="1" showErrorMessage="1" sqref="H2:H75">
      <formula1>"Must-have,Should-have"</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ht="22.5" customHeight="1">
      <c r="A1" s="1" t="s">
        <v>0</v>
      </c>
      <c r="B1" s="1" t="s">
        <v>882</v>
      </c>
      <c r="C1" s="1" t="s">
        <v>883</v>
      </c>
      <c r="D1" s="1" t="s">
        <v>884</v>
      </c>
      <c r="E1" s="1" t="s">
        <v>885</v>
      </c>
      <c r="F1" s="1" t="s">
        <v>886</v>
      </c>
      <c r="G1" s="1" t="s">
        <v>887</v>
      </c>
      <c r="H1" s="1" t="s">
        <v>888</v>
      </c>
      <c r="I1" s="1" t="s">
        <v>889</v>
      </c>
      <c r="J1" s="1" t="s">
        <v>890</v>
      </c>
      <c r="K1" s="1" t="s">
        <v>7</v>
      </c>
      <c r="L1" s="1" t="s">
        <v>10</v>
      </c>
    </row>
    <row r="2" ht="22.5" customHeight="1">
      <c r="A2" s="2" t="s">
        <v>12</v>
      </c>
      <c r="B2" s="2" t="s">
        <v>891</v>
      </c>
      <c r="C2" s="3" t="s">
        <v>892</v>
      </c>
      <c r="D2" s="3" t="s">
        <v>893</v>
      </c>
      <c r="E2" s="3" t="s">
        <v>894</v>
      </c>
      <c r="F2" s="2" t="s">
        <v>895</v>
      </c>
      <c r="G2" s="2" t="s">
        <v>895</v>
      </c>
      <c r="H2" s="2" t="s">
        <v>896</v>
      </c>
      <c r="I2" s="3"/>
      <c r="J2" s="3"/>
      <c r="K2" s="2" t="s">
        <v>19</v>
      </c>
      <c r="L2" s="2" t="s">
        <v>897</v>
      </c>
    </row>
    <row r="3" ht="22.5" customHeight="1">
      <c r="A3" s="2" t="s">
        <v>24</v>
      </c>
      <c r="B3" s="2" t="s">
        <v>25</v>
      </c>
      <c r="C3" s="3" t="s">
        <v>892</v>
      </c>
      <c r="D3" s="3" t="s">
        <v>893</v>
      </c>
      <c r="E3" s="3" t="s">
        <v>894</v>
      </c>
      <c r="F3" s="2" t="s">
        <v>895</v>
      </c>
      <c r="G3" s="2" t="s">
        <v>895</v>
      </c>
      <c r="H3" s="2" t="s">
        <v>896</v>
      </c>
      <c r="I3" s="3"/>
      <c r="J3" s="3"/>
      <c r="K3" s="2" t="s">
        <v>19</v>
      </c>
      <c r="L3" s="2" t="s">
        <v>897</v>
      </c>
    </row>
    <row r="4" ht="22.5" customHeight="1">
      <c r="A4" s="2" t="s">
        <v>28</v>
      </c>
      <c r="B4" s="2" t="s">
        <v>29</v>
      </c>
      <c r="C4" s="3" t="s">
        <v>892</v>
      </c>
      <c r="D4" s="3" t="s">
        <v>893</v>
      </c>
      <c r="E4" s="3" t="s">
        <v>894</v>
      </c>
      <c r="F4" s="2" t="s">
        <v>895</v>
      </c>
      <c r="G4" s="2" t="s">
        <v>895</v>
      </c>
      <c r="H4" s="2" t="s">
        <v>896</v>
      </c>
      <c r="I4" s="3"/>
      <c r="J4" s="3"/>
      <c r="K4" s="2" t="s">
        <v>19</v>
      </c>
      <c r="L4" s="2" t="s">
        <v>897</v>
      </c>
    </row>
    <row r="5" ht="22.5" customHeight="1">
      <c r="A5" s="2" t="s">
        <v>32</v>
      </c>
      <c r="B5" s="2" t="s">
        <v>33</v>
      </c>
      <c r="C5" s="3" t="s">
        <v>892</v>
      </c>
      <c r="D5" s="3" t="s">
        <v>893</v>
      </c>
      <c r="E5" s="3" t="s">
        <v>894</v>
      </c>
      <c r="F5" s="2" t="s">
        <v>895</v>
      </c>
      <c r="G5" s="2" t="s">
        <v>895</v>
      </c>
      <c r="H5" s="2" t="s">
        <v>896</v>
      </c>
      <c r="I5" s="3"/>
      <c r="J5" s="3"/>
      <c r="K5" s="2" t="s">
        <v>19</v>
      </c>
      <c r="L5" s="2" t="s">
        <v>897</v>
      </c>
    </row>
    <row r="6" ht="22.5" customHeight="1">
      <c r="A6" s="2" t="s">
        <v>36</v>
      </c>
      <c r="B6" s="2" t="s">
        <v>37</v>
      </c>
      <c r="C6" s="3" t="s">
        <v>892</v>
      </c>
      <c r="D6" s="3" t="s">
        <v>893</v>
      </c>
      <c r="E6" s="3" t="s">
        <v>894</v>
      </c>
      <c r="F6" s="2" t="s">
        <v>895</v>
      </c>
      <c r="G6" s="2" t="s">
        <v>895</v>
      </c>
      <c r="H6" s="2" t="s">
        <v>896</v>
      </c>
      <c r="I6" s="3"/>
      <c r="J6" s="3"/>
      <c r="K6" s="2" t="s">
        <v>19</v>
      </c>
      <c r="L6" s="2" t="s">
        <v>897</v>
      </c>
    </row>
    <row r="7" ht="22.5" customHeight="1">
      <c r="A7" s="2" t="s">
        <v>41</v>
      </c>
      <c r="B7" s="2" t="s">
        <v>42</v>
      </c>
      <c r="C7" s="3" t="s">
        <v>892</v>
      </c>
      <c r="D7" s="3" t="s">
        <v>893</v>
      </c>
      <c r="E7" s="3" t="s">
        <v>894</v>
      </c>
      <c r="F7" s="2" t="s">
        <v>895</v>
      </c>
      <c r="G7" s="2" t="s">
        <v>895</v>
      </c>
      <c r="H7" s="2" t="s">
        <v>896</v>
      </c>
      <c r="I7" s="3"/>
      <c r="J7" s="3"/>
      <c r="K7" s="2" t="s">
        <v>19</v>
      </c>
      <c r="L7" s="2" t="s">
        <v>897</v>
      </c>
    </row>
    <row r="8" ht="22.5" customHeight="1">
      <c r="A8" s="2" t="s">
        <v>45</v>
      </c>
      <c r="B8" s="2" t="s">
        <v>46</v>
      </c>
      <c r="C8" s="3" t="s">
        <v>892</v>
      </c>
      <c r="D8" s="3" t="s">
        <v>893</v>
      </c>
      <c r="E8" s="3" t="s">
        <v>894</v>
      </c>
      <c r="F8" s="2" t="s">
        <v>895</v>
      </c>
      <c r="G8" s="2" t="s">
        <v>895</v>
      </c>
      <c r="H8" s="2" t="s">
        <v>896</v>
      </c>
      <c r="I8" s="3"/>
      <c r="J8" s="3"/>
      <c r="K8" s="2" t="s">
        <v>19</v>
      </c>
      <c r="L8" s="2" t="s">
        <v>897</v>
      </c>
    </row>
    <row r="9" ht="22.5" customHeight="1">
      <c r="A9" s="2" t="s">
        <v>48</v>
      </c>
      <c r="B9" s="2" t="s">
        <v>49</v>
      </c>
      <c r="C9" s="3" t="s">
        <v>892</v>
      </c>
      <c r="D9" s="3" t="s">
        <v>893</v>
      </c>
      <c r="E9" s="3" t="s">
        <v>894</v>
      </c>
      <c r="F9" s="2" t="s">
        <v>895</v>
      </c>
      <c r="G9" s="2" t="s">
        <v>895</v>
      </c>
      <c r="H9" s="2" t="s">
        <v>896</v>
      </c>
      <c r="I9" s="3"/>
      <c r="J9" s="3"/>
      <c r="K9" s="2" t="s">
        <v>19</v>
      </c>
      <c r="L9" s="2" t="s">
        <v>897</v>
      </c>
    </row>
    <row r="10" ht="22.5" customHeight="1">
      <c r="A10" s="2" t="s">
        <v>54</v>
      </c>
      <c r="B10" s="2" t="s">
        <v>898</v>
      </c>
      <c r="C10" s="3" t="s">
        <v>899</v>
      </c>
      <c r="D10" s="3" t="s">
        <v>900</v>
      </c>
      <c r="E10" s="3" t="s">
        <v>901</v>
      </c>
      <c r="F10" s="2" t="s">
        <v>895</v>
      </c>
      <c r="G10" s="2" t="s">
        <v>895</v>
      </c>
      <c r="H10" s="2" t="s">
        <v>902</v>
      </c>
      <c r="I10" s="3"/>
      <c r="J10" s="3"/>
      <c r="K10" s="2" t="s">
        <v>19</v>
      </c>
      <c r="L10" s="2" t="s">
        <v>897</v>
      </c>
    </row>
    <row r="11" ht="22.5" customHeight="1">
      <c r="A11" s="2" t="s">
        <v>62</v>
      </c>
      <c r="B11" s="2" t="s">
        <v>63</v>
      </c>
      <c r="C11" s="3" t="s">
        <v>899</v>
      </c>
      <c r="D11" s="3" t="s">
        <v>900</v>
      </c>
      <c r="E11" s="3" t="s">
        <v>901</v>
      </c>
      <c r="F11" s="2" t="s">
        <v>895</v>
      </c>
      <c r="G11" s="2" t="s">
        <v>895</v>
      </c>
      <c r="H11" s="2" t="s">
        <v>902</v>
      </c>
      <c r="I11" s="3"/>
      <c r="J11" s="3"/>
      <c r="K11" s="2" t="s">
        <v>19</v>
      </c>
      <c r="L11" s="2" t="s">
        <v>897</v>
      </c>
    </row>
    <row r="12" ht="22.5" customHeight="1">
      <c r="A12" s="2" t="s">
        <v>67</v>
      </c>
      <c r="B12" s="2" t="s">
        <v>68</v>
      </c>
      <c r="C12" s="3" t="s">
        <v>899</v>
      </c>
      <c r="D12" s="3" t="s">
        <v>900</v>
      </c>
      <c r="E12" s="3" t="s">
        <v>901</v>
      </c>
      <c r="F12" s="2" t="s">
        <v>895</v>
      </c>
      <c r="G12" s="2" t="s">
        <v>895</v>
      </c>
      <c r="H12" s="2" t="s">
        <v>902</v>
      </c>
      <c r="I12" s="3"/>
      <c r="J12" s="3"/>
      <c r="K12" s="2" t="s">
        <v>19</v>
      </c>
      <c r="L12" s="2" t="s">
        <v>897</v>
      </c>
    </row>
    <row r="13" ht="22.5" customHeight="1">
      <c r="A13" s="2" t="s">
        <v>73</v>
      </c>
      <c r="B13" s="2" t="s">
        <v>74</v>
      </c>
      <c r="C13" s="3" t="s">
        <v>899</v>
      </c>
      <c r="D13" s="3" t="s">
        <v>903</v>
      </c>
      <c r="E13" s="3" t="s">
        <v>894</v>
      </c>
      <c r="F13" s="2" t="s">
        <v>895</v>
      </c>
      <c r="G13" s="2" t="s">
        <v>895</v>
      </c>
      <c r="H13" s="2" t="s">
        <v>904</v>
      </c>
      <c r="I13" s="3"/>
      <c r="J13" s="3"/>
      <c r="K13" s="2" t="s">
        <v>19</v>
      </c>
      <c r="L13" s="2" t="s">
        <v>897</v>
      </c>
    </row>
    <row r="14" ht="22.5" customHeight="1">
      <c r="A14" s="2" t="s">
        <v>79</v>
      </c>
      <c r="B14" s="2" t="s">
        <v>80</v>
      </c>
      <c r="C14" s="3" t="s">
        <v>899</v>
      </c>
      <c r="D14" s="3" t="s">
        <v>903</v>
      </c>
      <c r="E14" s="3" t="s">
        <v>894</v>
      </c>
      <c r="F14" s="2" t="s">
        <v>895</v>
      </c>
      <c r="G14" s="2" t="s">
        <v>895</v>
      </c>
      <c r="H14" s="2" t="s">
        <v>904</v>
      </c>
      <c r="I14" s="3"/>
      <c r="J14" s="3"/>
      <c r="K14" s="2" t="s">
        <v>19</v>
      </c>
      <c r="L14" s="2" t="s">
        <v>897</v>
      </c>
    </row>
    <row r="15" ht="22.5" customHeight="1">
      <c r="A15" s="2" t="s">
        <v>85</v>
      </c>
      <c r="B15" s="2" t="s">
        <v>86</v>
      </c>
      <c r="C15" s="3" t="s">
        <v>899</v>
      </c>
      <c r="D15" s="3" t="s">
        <v>903</v>
      </c>
      <c r="E15" s="3" t="s">
        <v>894</v>
      </c>
      <c r="F15" s="2" t="s">
        <v>895</v>
      </c>
      <c r="G15" s="2" t="s">
        <v>895</v>
      </c>
      <c r="H15" s="2" t="s">
        <v>904</v>
      </c>
      <c r="I15" s="3"/>
      <c r="J15" s="3"/>
      <c r="K15" s="2" t="s">
        <v>19</v>
      </c>
      <c r="L15" s="2" t="s">
        <v>897</v>
      </c>
    </row>
    <row r="16" ht="22.5" customHeight="1">
      <c r="A16" s="2" t="s">
        <v>90</v>
      </c>
      <c r="B16" s="2" t="s">
        <v>91</v>
      </c>
      <c r="C16" s="3" t="s">
        <v>899</v>
      </c>
      <c r="D16" s="3" t="s">
        <v>903</v>
      </c>
      <c r="E16" s="3" t="s">
        <v>894</v>
      </c>
      <c r="F16" s="2" t="s">
        <v>895</v>
      </c>
      <c r="G16" s="2" t="s">
        <v>895</v>
      </c>
      <c r="H16" s="2" t="s">
        <v>904</v>
      </c>
      <c r="I16" s="3"/>
      <c r="J16" s="3"/>
      <c r="K16" s="2" t="s">
        <v>19</v>
      </c>
      <c r="L16" s="2" t="s">
        <v>897</v>
      </c>
    </row>
    <row r="17" ht="22.5" customHeight="1">
      <c r="A17" s="2" t="s">
        <v>93</v>
      </c>
      <c r="B17" s="2" t="s">
        <v>94</v>
      </c>
      <c r="C17" s="3" t="s">
        <v>899</v>
      </c>
      <c r="D17" s="3" t="s">
        <v>903</v>
      </c>
      <c r="E17" s="3" t="s">
        <v>894</v>
      </c>
      <c r="F17" s="2" t="s">
        <v>895</v>
      </c>
      <c r="G17" s="2" t="s">
        <v>895</v>
      </c>
      <c r="H17" s="2" t="s">
        <v>904</v>
      </c>
      <c r="I17" s="3"/>
      <c r="J17" s="3"/>
      <c r="K17" s="2" t="s">
        <v>19</v>
      </c>
      <c r="L17" s="2" t="s">
        <v>897</v>
      </c>
    </row>
    <row r="18" ht="22.5" customHeight="1">
      <c r="A18" s="2" t="s">
        <v>95</v>
      </c>
      <c r="B18" s="2" t="s">
        <v>96</v>
      </c>
      <c r="C18" s="3" t="s">
        <v>899</v>
      </c>
      <c r="D18" s="3" t="s">
        <v>903</v>
      </c>
      <c r="E18" s="3" t="s">
        <v>894</v>
      </c>
      <c r="F18" s="2" t="s">
        <v>895</v>
      </c>
      <c r="G18" s="2" t="s">
        <v>895</v>
      </c>
      <c r="H18" s="2" t="s">
        <v>904</v>
      </c>
      <c r="I18" s="3"/>
      <c r="J18" s="3"/>
      <c r="K18" s="2" t="s">
        <v>19</v>
      </c>
      <c r="L18" s="2" t="s">
        <v>897</v>
      </c>
    </row>
    <row r="19" ht="22.5" customHeight="1">
      <c r="A19" s="2" t="s">
        <v>98</v>
      </c>
      <c r="B19" s="2" t="s">
        <v>99</v>
      </c>
      <c r="C19" s="3" t="s">
        <v>899</v>
      </c>
      <c r="D19" s="3" t="s">
        <v>903</v>
      </c>
      <c r="E19" s="3" t="s">
        <v>894</v>
      </c>
      <c r="F19" s="2" t="s">
        <v>895</v>
      </c>
      <c r="G19" s="2" t="s">
        <v>895</v>
      </c>
      <c r="H19" s="2" t="s">
        <v>904</v>
      </c>
      <c r="I19" s="3"/>
      <c r="J19" s="3"/>
      <c r="K19" s="2" t="s">
        <v>19</v>
      </c>
      <c r="L19" s="2" t="s">
        <v>897</v>
      </c>
    </row>
    <row r="20" ht="22.5" customHeight="1">
      <c r="A20" s="2" t="s">
        <v>101</v>
      </c>
      <c r="B20" s="2" t="s">
        <v>102</v>
      </c>
      <c r="C20" s="3" t="s">
        <v>899</v>
      </c>
      <c r="D20" s="3" t="s">
        <v>903</v>
      </c>
      <c r="E20" s="3" t="s">
        <v>894</v>
      </c>
      <c r="F20" s="2" t="s">
        <v>895</v>
      </c>
      <c r="G20" s="2" t="s">
        <v>895</v>
      </c>
      <c r="H20" s="2" t="s">
        <v>904</v>
      </c>
      <c r="I20" s="3"/>
      <c r="J20" s="3"/>
      <c r="K20" s="2" t="s">
        <v>19</v>
      </c>
      <c r="L20" s="2" t="s">
        <v>897</v>
      </c>
    </row>
    <row r="21" ht="22.5" customHeight="1">
      <c r="A21" s="2" t="s">
        <v>103</v>
      </c>
      <c r="B21" s="2" t="s">
        <v>104</v>
      </c>
      <c r="C21" s="3" t="s">
        <v>899</v>
      </c>
      <c r="D21" s="3" t="s">
        <v>903</v>
      </c>
      <c r="E21" s="3" t="s">
        <v>894</v>
      </c>
      <c r="F21" s="2" t="s">
        <v>895</v>
      </c>
      <c r="G21" s="2" t="s">
        <v>895</v>
      </c>
      <c r="H21" s="2" t="s">
        <v>904</v>
      </c>
      <c r="I21" s="3"/>
      <c r="J21" s="3"/>
      <c r="K21" s="2" t="s">
        <v>19</v>
      </c>
      <c r="L21" s="2" t="s">
        <v>897</v>
      </c>
    </row>
    <row r="22" ht="22.5" customHeight="1">
      <c r="A22" s="2" t="s">
        <v>105</v>
      </c>
      <c r="B22" s="2" t="s">
        <v>905</v>
      </c>
      <c r="C22" s="3" t="s">
        <v>899</v>
      </c>
      <c r="D22" s="3" t="s">
        <v>906</v>
      </c>
      <c r="E22" s="3" t="s">
        <v>894</v>
      </c>
      <c r="F22" s="2" t="s">
        <v>895</v>
      </c>
      <c r="G22" s="2" t="s">
        <v>895</v>
      </c>
      <c r="H22" s="2" t="s">
        <v>907</v>
      </c>
      <c r="I22" s="3"/>
      <c r="J22" s="3"/>
      <c r="K22" s="2" t="s">
        <v>19</v>
      </c>
      <c r="L22" s="2" t="s">
        <v>897</v>
      </c>
    </row>
    <row r="23" ht="22.5" customHeight="1">
      <c r="A23" s="2" t="s">
        <v>112</v>
      </c>
      <c r="B23" s="2" t="s">
        <v>908</v>
      </c>
      <c r="C23" s="3" t="s">
        <v>899</v>
      </c>
      <c r="D23" s="3" t="s">
        <v>906</v>
      </c>
      <c r="E23" s="3" t="s">
        <v>894</v>
      </c>
      <c r="F23" s="2" t="s">
        <v>895</v>
      </c>
      <c r="G23" s="2" t="s">
        <v>895</v>
      </c>
      <c r="H23" s="2" t="s">
        <v>907</v>
      </c>
      <c r="I23" s="3"/>
      <c r="J23" s="3"/>
      <c r="K23" s="2" t="s">
        <v>19</v>
      </c>
      <c r="L23" s="2" t="s">
        <v>897</v>
      </c>
    </row>
    <row r="24" ht="22.5" customHeight="1">
      <c r="A24" s="2" t="s">
        <v>118</v>
      </c>
      <c r="B24" s="2" t="s">
        <v>119</v>
      </c>
      <c r="C24" s="3" t="s">
        <v>899</v>
      </c>
      <c r="D24" s="3" t="s">
        <v>906</v>
      </c>
      <c r="E24" s="3" t="s">
        <v>894</v>
      </c>
      <c r="F24" s="2" t="s">
        <v>895</v>
      </c>
      <c r="G24" s="2" t="s">
        <v>895</v>
      </c>
      <c r="H24" s="2" t="s">
        <v>907</v>
      </c>
      <c r="I24" s="3"/>
      <c r="J24" s="3"/>
      <c r="K24" s="2" t="s">
        <v>19</v>
      </c>
      <c r="L24" s="2" t="s">
        <v>897</v>
      </c>
    </row>
    <row r="25" ht="22.5" customHeight="1">
      <c r="A25" s="2" t="s">
        <v>124</v>
      </c>
      <c r="B25" s="2" t="s">
        <v>909</v>
      </c>
      <c r="C25" s="3" t="s">
        <v>899</v>
      </c>
      <c r="D25" s="3" t="s">
        <v>906</v>
      </c>
      <c r="E25" s="3" t="s">
        <v>894</v>
      </c>
      <c r="F25" s="2" t="s">
        <v>895</v>
      </c>
      <c r="G25" s="2" t="s">
        <v>895</v>
      </c>
      <c r="H25" s="2" t="s">
        <v>907</v>
      </c>
      <c r="I25" s="3"/>
      <c r="J25" s="3"/>
      <c r="K25" s="2" t="s">
        <v>19</v>
      </c>
      <c r="L25" s="2" t="s">
        <v>897</v>
      </c>
    </row>
    <row r="26" ht="22.5" customHeight="1">
      <c r="A26" s="2" t="s">
        <v>128</v>
      </c>
      <c r="B26" s="2" t="s">
        <v>910</v>
      </c>
      <c r="C26" s="3" t="s">
        <v>899</v>
      </c>
      <c r="D26" s="3" t="s">
        <v>906</v>
      </c>
      <c r="E26" s="3" t="s">
        <v>894</v>
      </c>
      <c r="F26" s="2" t="s">
        <v>895</v>
      </c>
      <c r="G26" s="2" t="s">
        <v>895</v>
      </c>
      <c r="H26" s="2" t="s">
        <v>907</v>
      </c>
      <c r="I26" s="3"/>
      <c r="J26" s="3"/>
      <c r="K26" s="2" t="s">
        <v>19</v>
      </c>
      <c r="L26" s="2" t="s">
        <v>897</v>
      </c>
    </row>
    <row r="27" ht="22.5" customHeight="1">
      <c r="A27" s="2" t="s">
        <v>132</v>
      </c>
      <c r="B27" s="2" t="s">
        <v>133</v>
      </c>
      <c r="C27" s="3" t="s">
        <v>899</v>
      </c>
      <c r="D27" s="3" t="s">
        <v>906</v>
      </c>
      <c r="E27" s="3" t="s">
        <v>894</v>
      </c>
      <c r="F27" s="2" t="s">
        <v>895</v>
      </c>
      <c r="G27" s="2" t="s">
        <v>895</v>
      </c>
      <c r="H27" s="2" t="s">
        <v>907</v>
      </c>
      <c r="I27" s="3"/>
      <c r="J27" s="3"/>
      <c r="K27" s="2" t="s">
        <v>19</v>
      </c>
      <c r="L27" s="2" t="s">
        <v>897</v>
      </c>
    </row>
    <row r="28" ht="22.5" customHeight="1">
      <c r="A28" s="2" t="s">
        <v>136</v>
      </c>
      <c r="B28" s="2" t="s">
        <v>911</v>
      </c>
      <c r="C28" s="3" t="s">
        <v>899</v>
      </c>
      <c r="D28" s="3" t="s">
        <v>906</v>
      </c>
      <c r="E28" s="3" t="s">
        <v>894</v>
      </c>
      <c r="F28" s="2" t="s">
        <v>895</v>
      </c>
      <c r="G28" s="2" t="s">
        <v>895</v>
      </c>
      <c r="H28" s="2" t="s">
        <v>907</v>
      </c>
      <c r="I28" s="3"/>
      <c r="J28" s="3"/>
      <c r="K28" s="2" t="s">
        <v>19</v>
      </c>
      <c r="L28" s="2" t="s">
        <v>897</v>
      </c>
    </row>
    <row r="29" ht="22.5" customHeight="1">
      <c r="A29" s="2" t="s">
        <v>140</v>
      </c>
      <c r="B29" s="2" t="s">
        <v>141</v>
      </c>
      <c r="C29" s="3" t="s">
        <v>899</v>
      </c>
      <c r="D29" s="3" t="s">
        <v>906</v>
      </c>
      <c r="E29" s="3" t="s">
        <v>894</v>
      </c>
      <c r="F29" s="2" t="s">
        <v>895</v>
      </c>
      <c r="G29" s="2" t="s">
        <v>895</v>
      </c>
      <c r="H29" s="2" t="s">
        <v>907</v>
      </c>
      <c r="I29" s="3"/>
      <c r="J29" s="3"/>
      <c r="K29" s="2" t="s">
        <v>19</v>
      </c>
      <c r="L29" s="2" t="s">
        <v>897</v>
      </c>
    </row>
    <row r="30" ht="22.5" customHeight="1">
      <c r="A30" s="2" t="s">
        <v>145</v>
      </c>
      <c r="B30" s="2" t="s">
        <v>146</v>
      </c>
      <c r="C30" s="3" t="s">
        <v>899</v>
      </c>
      <c r="D30" s="3" t="s">
        <v>906</v>
      </c>
      <c r="E30" s="3" t="s">
        <v>894</v>
      </c>
      <c r="F30" s="2" t="s">
        <v>895</v>
      </c>
      <c r="G30" s="2" t="s">
        <v>895</v>
      </c>
      <c r="H30" s="2" t="s">
        <v>907</v>
      </c>
      <c r="I30" s="3"/>
      <c r="J30" s="3"/>
      <c r="K30" s="2" t="s">
        <v>19</v>
      </c>
      <c r="L30" s="2" t="s">
        <v>897</v>
      </c>
    </row>
    <row r="31" ht="22.5" customHeight="1">
      <c r="A31" s="2" t="s">
        <v>154</v>
      </c>
      <c r="B31" s="2" t="s">
        <v>155</v>
      </c>
      <c r="C31" s="3" t="s">
        <v>899</v>
      </c>
      <c r="D31" s="3" t="s">
        <v>912</v>
      </c>
      <c r="E31" s="3" t="s">
        <v>894</v>
      </c>
      <c r="F31" s="2" t="s">
        <v>895</v>
      </c>
      <c r="G31" s="2" t="s">
        <v>895</v>
      </c>
      <c r="H31" s="2" t="s">
        <v>913</v>
      </c>
      <c r="I31" s="3"/>
      <c r="J31" s="3"/>
      <c r="K31" s="2" t="s">
        <v>19</v>
      </c>
      <c r="L31" s="2" t="s">
        <v>914</v>
      </c>
    </row>
    <row r="32" ht="22.5" customHeight="1">
      <c r="A32" s="2" t="s">
        <v>161</v>
      </c>
      <c r="B32" s="2" t="s">
        <v>162</v>
      </c>
      <c r="C32" s="3" t="s">
        <v>899</v>
      </c>
      <c r="D32" s="3" t="s">
        <v>915</v>
      </c>
      <c r="E32" s="3" t="s">
        <v>901</v>
      </c>
      <c r="F32" s="2" t="s">
        <v>895</v>
      </c>
      <c r="G32" s="2" t="s">
        <v>895</v>
      </c>
      <c r="H32" s="2" t="s">
        <v>916</v>
      </c>
      <c r="I32" s="3"/>
      <c r="J32" s="3"/>
      <c r="K32" s="2" t="s">
        <v>19</v>
      </c>
      <c r="L32" s="2" t="s">
        <v>917</v>
      </c>
    </row>
    <row r="33" ht="22.5" customHeight="1">
      <c r="A33" s="2" t="s">
        <v>165</v>
      </c>
      <c r="B33" s="2" t="s">
        <v>166</v>
      </c>
      <c r="C33" s="3" t="s">
        <v>899</v>
      </c>
      <c r="D33" s="3" t="s">
        <v>918</v>
      </c>
      <c r="E33" s="3" t="s">
        <v>901</v>
      </c>
      <c r="F33" s="2" t="s">
        <v>895</v>
      </c>
      <c r="G33" s="2" t="s">
        <v>895</v>
      </c>
      <c r="H33" s="2" t="s">
        <v>919</v>
      </c>
      <c r="I33" s="3"/>
      <c r="J33" s="3"/>
      <c r="K33" s="2" t="s">
        <v>19</v>
      </c>
      <c r="L33" s="2" t="s">
        <v>920</v>
      </c>
    </row>
    <row r="34" ht="22.5" customHeight="1">
      <c r="A34" s="2" t="s">
        <v>171</v>
      </c>
      <c r="B34" s="2" t="s">
        <v>172</v>
      </c>
      <c r="C34" s="3" t="s">
        <v>899</v>
      </c>
      <c r="D34" s="3" t="s">
        <v>921</v>
      </c>
      <c r="E34" s="3" t="s">
        <v>901</v>
      </c>
      <c r="F34" s="2" t="s">
        <v>895</v>
      </c>
      <c r="G34" s="2" t="s">
        <v>895</v>
      </c>
      <c r="H34" s="2" t="s">
        <v>922</v>
      </c>
      <c r="I34" s="3"/>
      <c r="J34" s="3"/>
      <c r="K34" s="2" t="s">
        <v>19</v>
      </c>
      <c r="L34" s="2" t="s">
        <v>923</v>
      </c>
    </row>
    <row r="35" ht="22.5" customHeight="1">
      <c r="A35" s="2" t="s">
        <v>177</v>
      </c>
      <c r="B35" s="2" t="s">
        <v>178</v>
      </c>
      <c r="C35" s="3" t="s">
        <v>899</v>
      </c>
      <c r="D35" s="3" t="s">
        <v>924</v>
      </c>
      <c r="E35" s="3" t="s">
        <v>925</v>
      </c>
      <c r="F35" s="2" t="s">
        <v>895</v>
      </c>
      <c r="G35" s="2" t="s">
        <v>895</v>
      </c>
      <c r="H35" s="2" t="s">
        <v>926</v>
      </c>
      <c r="I35" s="3"/>
      <c r="J35" s="3"/>
      <c r="K35" s="2" t="s">
        <v>19</v>
      </c>
      <c r="L35" s="2" t="s">
        <v>927</v>
      </c>
    </row>
    <row r="36" ht="22.5" customHeight="1">
      <c r="A36" s="2" t="s">
        <v>183</v>
      </c>
      <c r="B36" s="2" t="s">
        <v>184</v>
      </c>
      <c r="C36" s="3" t="s">
        <v>899</v>
      </c>
      <c r="D36" s="3" t="s">
        <v>928</v>
      </c>
      <c r="E36" s="3" t="s">
        <v>929</v>
      </c>
      <c r="F36" s="2" t="s">
        <v>895</v>
      </c>
      <c r="G36" s="2" t="s">
        <v>895</v>
      </c>
      <c r="H36" s="2" t="s">
        <v>913</v>
      </c>
      <c r="I36" s="3"/>
      <c r="J36" s="3"/>
      <c r="K36" s="2" t="s">
        <v>19</v>
      </c>
      <c r="L36" s="2" t="s">
        <v>930</v>
      </c>
    </row>
    <row r="37" ht="22.5" customHeight="1">
      <c r="A37" s="2" t="s">
        <v>190</v>
      </c>
      <c r="B37" s="2" t="s">
        <v>191</v>
      </c>
      <c r="C37" s="3" t="s">
        <v>899</v>
      </c>
      <c r="D37" s="3" t="s">
        <v>931</v>
      </c>
      <c r="E37" s="3" t="s">
        <v>894</v>
      </c>
      <c r="F37" s="2" t="s">
        <v>895</v>
      </c>
      <c r="G37" s="2" t="s">
        <v>895</v>
      </c>
      <c r="H37" s="2" t="s">
        <v>932</v>
      </c>
      <c r="I37" s="3"/>
      <c r="J37" s="3"/>
      <c r="K37" s="2" t="s">
        <v>19</v>
      </c>
      <c r="L37" s="2" t="s">
        <v>897</v>
      </c>
    </row>
    <row r="38" ht="22.5" customHeight="1">
      <c r="A38" s="2" t="s">
        <v>195</v>
      </c>
      <c r="B38" s="2" t="s">
        <v>196</v>
      </c>
      <c r="C38" s="3" t="s">
        <v>899</v>
      </c>
      <c r="D38" s="3" t="s">
        <v>933</v>
      </c>
      <c r="E38" s="3" t="s">
        <v>901</v>
      </c>
      <c r="F38" s="2" t="s">
        <v>895</v>
      </c>
      <c r="G38" s="2" t="s">
        <v>895</v>
      </c>
      <c r="H38" s="2" t="s">
        <v>934</v>
      </c>
      <c r="I38" s="3"/>
      <c r="J38" s="3"/>
      <c r="K38" s="2" t="s">
        <v>19</v>
      </c>
      <c r="L38" s="2" t="s">
        <v>897</v>
      </c>
    </row>
    <row r="39" ht="22.5" customHeight="1">
      <c r="A39" s="2" t="s">
        <v>197</v>
      </c>
      <c r="B39" s="2" t="s">
        <v>198</v>
      </c>
      <c r="C39" s="3" t="s">
        <v>899</v>
      </c>
      <c r="D39" s="3" t="s">
        <v>935</v>
      </c>
      <c r="E39" s="3" t="s">
        <v>901</v>
      </c>
      <c r="F39" s="2" t="s">
        <v>895</v>
      </c>
      <c r="G39" s="2" t="s">
        <v>895</v>
      </c>
      <c r="H39" s="2" t="s">
        <v>936</v>
      </c>
      <c r="I39" s="3"/>
      <c r="J39" s="3"/>
      <c r="K39" s="2" t="s">
        <v>19</v>
      </c>
      <c r="L39" s="2" t="s">
        <v>897</v>
      </c>
    </row>
    <row r="40" ht="22.5" customHeight="1">
      <c r="A40" s="2" t="s">
        <v>200</v>
      </c>
      <c r="B40" s="2" t="s">
        <v>201</v>
      </c>
      <c r="C40" s="3" t="s">
        <v>899</v>
      </c>
      <c r="D40" s="3" t="s">
        <v>937</v>
      </c>
      <c r="E40" s="3" t="s">
        <v>925</v>
      </c>
      <c r="F40" s="2" t="s">
        <v>895</v>
      </c>
      <c r="G40" s="2" t="s">
        <v>895</v>
      </c>
      <c r="H40" s="2" t="s">
        <v>938</v>
      </c>
      <c r="I40" s="3"/>
      <c r="J40" s="3"/>
      <c r="K40" s="2" t="s">
        <v>19</v>
      </c>
      <c r="L40" s="2" t="s">
        <v>897</v>
      </c>
    </row>
    <row r="41" ht="22.5" customHeight="1">
      <c r="A41" s="2" t="s">
        <v>203</v>
      </c>
      <c r="B41" s="2" t="s">
        <v>204</v>
      </c>
      <c r="C41" s="3" t="s">
        <v>899</v>
      </c>
      <c r="D41" s="3" t="s">
        <v>939</v>
      </c>
      <c r="E41" s="3" t="s">
        <v>901</v>
      </c>
      <c r="F41" s="2" t="s">
        <v>895</v>
      </c>
      <c r="G41" s="2" t="s">
        <v>895</v>
      </c>
      <c r="H41" s="2" t="s">
        <v>940</v>
      </c>
      <c r="I41" s="3"/>
      <c r="J41" s="3"/>
      <c r="K41" s="2" t="s">
        <v>19</v>
      </c>
      <c r="L41" s="2" t="s">
        <v>897</v>
      </c>
    </row>
    <row r="42" ht="22.5" customHeight="1">
      <c r="A42" s="2" t="s">
        <v>205</v>
      </c>
      <c r="B42" s="2" t="s">
        <v>206</v>
      </c>
      <c r="C42" s="3" t="s">
        <v>899</v>
      </c>
      <c r="D42" s="3" t="s">
        <v>941</v>
      </c>
      <c r="E42" s="3" t="s">
        <v>925</v>
      </c>
      <c r="F42" s="2" t="s">
        <v>895</v>
      </c>
      <c r="G42" s="2" t="s">
        <v>895</v>
      </c>
      <c r="H42" s="2" t="s">
        <v>942</v>
      </c>
      <c r="I42" s="3"/>
      <c r="J42" s="3"/>
      <c r="K42" s="2" t="s">
        <v>19</v>
      </c>
      <c r="L42" s="2" t="s">
        <v>897</v>
      </c>
    </row>
    <row r="43" ht="22.5" customHeight="1">
      <c r="A43" s="2" t="s">
        <v>208</v>
      </c>
      <c r="B43" s="2" t="s">
        <v>209</v>
      </c>
      <c r="C43" s="3" t="s">
        <v>899</v>
      </c>
      <c r="D43" s="3" t="s">
        <v>943</v>
      </c>
      <c r="E43" s="3" t="s">
        <v>901</v>
      </c>
      <c r="F43" s="2" t="s">
        <v>895</v>
      </c>
      <c r="G43" s="2" t="s">
        <v>895</v>
      </c>
      <c r="H43" s="2" t="s">
        <v>944</v>
      </c>
      <c r="I43" s="3"/>
      <c r="J43" s="3"/>
      <c r="K43" s="2" t="s">
        <v>19</v>
      </c>
      <c r="L43" s="2" t="s">
        <v>945</v>
      </c>
    </row>
    <row r="44" ht="22.5" customHeight="1">
      <c r="A44" s="2" t="s">
        <v>213</v>
      </c>
      <c r="B44" s="2" t="s">
        <v>214</v>
      </c>
      <c r="C44" s="3" t="s">
        <v>899</v>
      </c>
      <c r="D44" s="3" t="s">
        <v>946</v>
      </c>
      <c r="E44" s="3" t="s">
        <v>925</v>
      </c>
      <c r="F44" s="2" t="s">
        <v>895</v>
      </c>
      <c r="G44" s="2" t="s">
        <v>895</v>
      </c>
      <c r="H44" s="2" t="s">
        <v>947</v>
      </c>
      <c r="I44" s="3"/>
      <c r="J44" s="3"/>
      <c r="K44" s="2" t="s">
        <v>19</v>
      </c>
      <c r="L44" s="2" t="s">
        <v>948</v>
      </c>
    </row>
    <row r="45" ht="22.5" customHeight="1">
      <c r="A45" s="2" t="s">
        <v>218</v>
      </c>
      <c r="B45" s="2" t="s">
        <v>219</v>
      </c>
      <c r="C45" s="3" t="s">
        <v>899</v>
      </c>
      <c r="D45" s="3" t="s">
        <v>949</v>
      </c>
      <c r="E45" s="3" t="s">
        <v>901</v>
      </c>
      <c r="F45" s="2" t="s">
        <v>895</v>
      </c>
      <c r="G45" s="2" t="s">
        <v>895</v>
      </c>
      <c r="H45" s="2" t="s">
        <v>950</v>
      </c>
      <c r="I45" s="3"/>
      <c r="J45" s="3"/>
      <c r="K45" s="2" t="s">
        <v>19</v>
      </c>
      <c r="L45" s="2" t="s">
        <v>951</v>
      </c>
    </row>
    <row r="46" ht="22.5" customHeight="1">
      <c r="A46" s="2" t="s">
        <v>225</v>
      </c>
      <c r="B46" s="2" t="s">
        <v>226</v>
      </c>
      <c r="C46" s="3" t="s">
        <v>899</v>
      </c>
      <c r="D46" s="3" t="s">
        <v>952</v>
      </c>
      <c r="E46" s="3" t="s">
        <v>925</v>
      </c>
      <c r="F46" s="2" t="s">
        <v>895</v>
      </c>
      <c r="G46" s="2" t="s">
        <v>895</v>
      </c>
      <c r="H46" s="2" t="s">
        <v>953</v>
      </c>
      <c r="I46" s="3"/>
      <c r="J46" s="3"/>
      <c r="K46" s="2" t="s">
        <v>19</v>
      </c>
      <c r="L46" s="2" t="s">
        <v>954</v>
      </c>
    </row>
    <row r="47" ht="22.5" customHeight="1">
      <c r="A47" s="2" t="s">
        <v>230</v>
      </c>
      <c r="B47" s="2" t="s">
        <v>231</v>
      </c>
      <c r="C47" s="3" t="s">
        <v>899</v>
      </c>
      <c r="D47" s="3" t="s">
        <v>955</v>
      </c>
      <c r="E47" s="3" t="s">
        <v>925</v>
      </c>
      <c r="F47" s="2" t="s">
        <v>895</v>
      </c>
      <c r="G47" s="2" t="s">
        <v>895</v>
      </c>
      <c r="H47" s="2" t="s">
        <v>956</v>
      </c>
      <c r="I47" s="3"/>
      <c r="J47" s="3"/>
      <c r="K47" s="2" t="s">
        <v>19</v>
      </c>
      <c r="L47" s="2" t="s">
        <v>957</v>
      </c>
    </row>
    <row r="48" ht="22.5" customHeight="1">
      <c r="A48" s="2" t="s">
        <v>235</v>
      </c>
      <c r="B48" s="2" t="s">
        <v>236</v>
      </c>
      <c r="C48" s="3" t="s">
        <v>899</v>
      </c>
      <c r="D48" s="3" t="s">
        <v>958</v>
      </c>
      <c r="E48" s="3" t="s">
        <v>901</v>
      </c>
      <c r="F48" s="2" t="s">
        <v>895</v>
      </c>
      <c r="G48" s="2" t="s">
        <v>895</v>
      </c>
      <c r="H48" s="2" t="s">
        <v>959</v>
      </c>
      <c r="I48" s="3"/>
      <c r="J48" s="3"/>
      <c r="K48" s="2" t="s">
        <v>19</v>
      </c>
      <c r="L48" s="2" t="s">
        <v>960</v>
      </c>
    </row>
    <row r="49" ht="22.5" customHeight="1">
      <c r="A49" s="2" t="s">
        <v>241</v>
      </c>
      <c r="B49" s="2" t="s">
        <v>242</v>
      </c>
      <c r="C49" s="3" t="s">
        <v>899</v>
      </c>
      <c r="D49" s="3" t="s">
        <v>961</v>
      </c>
      <c r="E49" s="3" t="s">
        <v>929</v>
      </c>
      <c r="F49" s="2" t="s">
        <v>895</v>
      </c>
      <c r="G49" s="2" t="s">
        <v>895</v>
      </c>
      <c r="H49" s="2" t="s">
        <v>962</v>
      </c>
      <c r="I49" s="3"/>
      <c r="J49" s="3"/>
      <c r="K49" s="2" t="s">
        <v>19</v>
      </c>
      <c r="L49" s="2" t="s">
        <v>963</v>
      </c>
    </row>
    <row r="50" ht="22.5" customHeight="1">
      <c r="A50" s="2" t="s">
        <v>247</v>
      </c>
      <c r="B50" s="2" t="s">
        <v>248</v>
      </c>
      <c r="C50" s="3" t="s">
        <v>899</v>
      </c>
      <c r="D50" s="3" t="s">
        <v>964</v>
      </c>
      <c r="E50" s="3" t="s">
        <v>901</v>
      </c>
      <c r="F50" s="2" t="s">
        <v>895</v>
      </c>
      <c r="G50" s="2" t="s">
        <v>895</v>
      </c>
      <c r="H50" s="2" t="s">
        <v>965</v>
      </c>
      <c r="I50" s="3"/>
      <c r="J50" s="3"/>
      <c r="K50" s="2" t="s">
        <v>19</v>
      </c>
      <c r="L50" s="2" t="s">
        <v>966</v>
      </c>
    </row>
    <row r="51" ht="22.5" customHeight="1">
      <c r="A51" s="2" t="s">
        <v>254</v>
      </c>
      <c r="B51" s="2" t="s">
        <v>255</v>
      </c>
      <c r="C51" s="3" t="s">
        <v>899</v>
      </c>
      <c r="D51" s="3" t="s">
        <v>967</v>
      </c>
      <c r="E51" s="3" t="s">
        <v>968</v>
      </c>
      <c r="F51" s="2" t="s">
        <v>895</v>
      </c>
      <c r="G51" s="2" t="s">
        <v>895</v>
      </c>
      <c r="H51" s="2" t="s">
        <v>969</v>
      </c>
      <c r="I51" s="26"/>
      <c r="J51" s="3"/>
      <c r="K51" s="2" t="s">
        <v>19</v>
      </c>
      <c r="L51" s="2" t="s">
        <v>970</v>
      </c>
    </row>
    <row r="52" ht="22.5" customHeight="1">
      <c r="A52" s="2" t="s">
        <v>260</v>
      </c>
      <c r="B52" s="2" t="s">
        <v>261</v>
      </c>
      <c r="C52" s="3" t="s">
        <v>899</v>
      </c>
      <c r="D52" s="3" t="s">
        <v>971</v>
      </c>
      <c r="E52" s="3" t="s">
        <v>925</v>
      </c>
      <c r="F52" s="2" t="s">
        <v>895</v>
      </c>
      <c r="G52" s="2" t="s">
        <v>895</v>
      </c>
      <c r="H52" s="2" t="s">
        <v>972</v>
      </c>
      <c r="I52" s="4"/>
      <c r="J52" s="3"/>
      <c r="K52" s="2" t="s">
        <v>19</v>
      </c>
      <c r="L52" s="2" t="s">
        <v>973</v>
      </c>
    </row>
    <row r="53" ht="22.5" customHeight="1">
      <c r="A53" s="2" t="s">
        <v>265</v>
      </c>
      <c r="B53" s="2" t="s">
        <v>266</v>
      </c>
      <c r="C53" s="3" t="s">
        <v>899</v>
      </c>
      <c r="D53" s="3" t="s">
        <v>974</v>
      </c>
      <c r="E53" s="3" t="s">
        <v>925</v>
      </c>
      <c r="F53" s="2" t="s">
        <v>895</v>
      </c>
      <c r="G53" s="2" t="s">
        <v>895</v>
      </c>
      <c r="H53" s="2" t="s">
        <v>972</v>
      </c>
      <c r="I53" s="3"/>
      <c r="J53" s="3"/>
      <c r="K53" s="2" t="s">
        <v>19</v>
      </c>
      <c r="L53" s="2" t="s">
        <v>975</v>
      </c>
    </row>
    <row r="54" ht="22.5" customHeight="1">
      <c r="A54" s="2" t="s">
        <v>269</v>
      </c>
      <c r="B54" s="2" t="s">
        <v>270</v>
      </c>
      <c r="C54" s="3" t="s">
        <v>899</v>
      </c>
      <c r="D54" s="3" t="s">
        <v>976</v>
      </c>
      <c r="E54" s="3" t="s">
        <v>929</v>
      </c>
      <c r="F54" s="2" t="s">
        <v>895</v>
      </c>
      <c r="G54" s="2" t="s">
        <v>895</v>
      </c>
      <c r="H54" s="2" t="s">
        <v>977</v>
      </c>
      <c r="I54" s="3"/>
      <c r="J54" s="3"/>
      <c r="K54" s="2" t="s">
        <v>19</v>
      </c>
      <c r="L54" s="2" t="s">
        <v>978</v>
      </c>
    </row>
    <row r="55" ht="22.5" customHeight="1">
      <c r="A55" s="2" t="s">
        <v>275</v>
      </c>
      <c r="B55" s="2" t="s">
        <v>276</v>
      </c>
      <c r="C55" s="3" t="s">
        <v>899</v>
      </c>
      <c r="D55" s="3" t="s">
        <v>979</v>
      </c>
      <c r="E55" s="3" t="s">
        <v>894</v>
      </c>
      <c r="F55" s="2" t="s">
        <v>980</v>
      </c>
      <c r="G55" s="2" t="s">
        <v>981</v>
      </c>
      <c r="H55" s="2" t="s">
        <v>982</v>
      </c>
      <c r="I55" s="3"/>
      <c r="J55" s="3"/>
      <c r="K55" s="2" t="s">
        <v>19</v>
      </c>
      <c r="L55" s="2" t="s">
        <v>983</v>
      </c>
    </row>
    <row r="56" ht="22.5" customHeight="1">
      <c r="A56" s="2" t="s">
        <v>280</v>
      </c>
      <c r="B56" s="2" t="s">
        <v>281</v>
      </c>
      <c r="C56" s="3" t="s">
        <v>899</v>
      </c>
      <c r="D56" s="3" t="s">
        <v>984</v>
      </c>
      <c r="E56" s="3" t="s">
        <v>894</v>
      </c>
      <c r="F56" s="2" t="s">
        <v>895</v>
      </c>
      <c r="G56" s="2" t="s">
        <v>895</v>
      </c>
      <c r="H56" s="2" t="s">
        <v>985</v>
      </c>
      <c r="I56" s="3"/>
      <c r="J56" s="3"/>
      <c r="K56" s="2" t="s">
        <v>19</v>
      </c>
      <c r="L56" s="2" t="s">
        <v>986</v>
      </c>
    </row>
    <row r="57" ht="22.5" customHeight="1">
      <c r="A57" s="2" t="s">
        <v>287</v>
      </c>
      <c r="B57" s="2" t="s">
        <v>288</v>
      </c>
      <c r="C57" s="3" t="s">
        <v>899</v>
      </c>
      <c r="D57" s="3" t="s">
        <v>987</v>
      </c>
      <c r="E57" s="3" t="s">
        <v>901</v>
      </c>
      <c r="F57" s="2" t="s">
        <v>895</v>
      </c>
      <c r="G57" s="2" t="s">
        <v>895</v>
      </c>
      <c r="H57" s="2" t="s">
        <v>988</v>
      </c>
      <c r="I57" s="4"/>
      <c r="J57" s="4"/>
      <c r="K57" s="2" t="s">
        <v>19</v>
      </c>
      <c r="L57" s="2" t="s">
        <v>989</v>
      </c>
    </row>
    <row r="58" ht="22.5" customHeight="1">
      <c r="A58" s="2" t="s">
        <v>292</v>
      </c>
      <c r="B58" s="2" t="s">
        <v>293</v>
      </c>
      <c r="C58" s="3" t="s">
        <v>899</v>
      </c>
      <c r="D58" s="3" t="s">
        <v>990</v>
      </c>
      <c r="E58" s="3" t="s">
        <v>901</v>
      </c>
      <c r="F58" s="2" t="s">
        <v>895</v>
      </c>
      <c r="G58" s="2" t="s">
        <v>895</v>
      </c>
      <c r="H58" s="2" t="s">
        <v>991</v>
      </c>
      <c r="I58" s="4"/>
      <c r="J58" s="4"/>
      <c r="K58" s="2" t="s">
        <v>19</v>
      </c>
      <c r="L58" s="2" t="s">
        <v>992</v>
      </c>
    </row>
    <row r="59" ht="22.5" customHeight="1">
      <c r="A59" s="2" t="s">
        <v>297</v>
      </c>
      <c r="B59" s="2" t="s">
        <v>298</v>
      </c>
      <c r="C59" s="3" t="s">
        <v>899</v>
      </c>
      <c r="D59" s="3" t="s">
        <v>993</v>
      </c>
      <c r="E59" s="3" t="s">
        <v>968</v>
      </c>
      <c r="F59" s="2" t="s">
        <v>895</v>
      </c>
      <c r="G59" s="2" t="s">
        <v>895</v>
      </c>
      <c r="H59" s="2" t="s">
        <v>977</v>
      </c>
      <c r="I59" s="4"/>
      <c r="J59" s="4"/>
      <c r="K59" s="2" t="s">
        <v>19</v>
      </c>
      <c r="L59" s="2" t="s">
        <v>994</v>
      </c>
    </row>
    <row r="60" ht="22.5" customHeight="1">
      <c r="A60" s="2" t="s">
        <v>304</v>
      </c>
      <c r="B60" s="2" t="s">
        <v>305</v>
      </c>
      <c r="C60" s="3" t="s">
        <v>899</v>
      </c>
      <c r="D60" s="3" t="s">
        <v>995</v>
      </c>
      <c r="E60" s="3" t="s">
        <v>996</v>
      </c>
      <c r="F60" s="2" t="s">
        <v>895</v>
      </c>
      <c r="G60" s="2" t="s">
        <v>895</v>
      </c>
      <c r="H60" s="2" t="s">
        <v>997</v>
      </c>
      <c r="I60" s="4"/>
      <c r="J60" s="4"/>
      <c r="K60" s="2" t="s">
        <v>19</v>
      </c>
      <c r="L60" s="2" t="s">
        <v>998</v>
      </c>
    </row>
    <row r="61" ht="22.5" customHeight="1">
      <c r="A61" s="2" t="s">
        <v>311</v>
      </c>
      <c r="B61" s="2" t="s">
        <v>312</v>
      </c>
      <c r="C61" s="14" t="s">
        <v>899</v>
      </c>
      <c r="D61" s="14" t="s">
        <v>999</v>
      </c>
      <c r="E61" s="14" t="s">
        <v>968</v>
      </c>
      <c r="F61" s="27" t="s">
        <v>895</v>
      </c>
      <c r="G61" s="27" t="s">
        <v>895</v>
      </c>
      <c r="H61" s="13" t="s">
        <v>1000</v>
      </c>
      <c r="I61" s="15"/>
      <c r="J61" s="15"/>
      <c r="K61" s="13" t="s">
        <v>19</v>
      </c>
      <c r="L61" s="13" t="s">
        <v>1001</v>
      </c>
    </row>
    <row r="62" ht="22.5" customHeight="1">
      <c r="A62" s="2" t="s">
        <v>316</v>
      </c>
      <c r="B62" s="2" t="s">
        <v>317</v>
      </c>
      <c r="C62" s="14" t="s">
        <v>899</v>
      </c>
      <c r="D62" s="14" t="s">
        <v>1002</v>
      </c>
      <c r="E62" s="14" t="s">
        <v>968</v>
      </c>
      <c r="F62" s="27" t="s">
        <v>895</v>
      </c>
      <c r="G62" s="28" t="s">
        <v>895</v>
      </c>
      <c r="H62" s="13" t="s">
        <v>1000</v>
      </c>
      <c r="I62" s="15"/>
      <c r="J62" s="15"/>
      <c r="K62" s="13" t="s">
        <v>19</v>
      </c>
      <c r="L62" s="13" t="s">
        <v>1003</v>
      </c>
    </row>
    <row r="63" ht="22.5" customHeight="1">
      <c r="A63" s="2" t="s">
        <v>320</v>
      </c>
      <c r="B63" s="2" t="s">
        <v>321</v>
      </c>
      <c r="C63" s="14" t="s">
        <v>899</v>
      </c>
      <c r="D63" s="14" t="s">
        <v>1004</v>
      </c>
      <c r="E63" s="14" t="s">
        <v>968</v>
      </c>
      <c r="F63" s="27" t="s">
        <v>895</v>
      </c>
      <c r="G63" s="27" t="s">
        <v>895</v>
      </c>
      <c r="H63" s="13" t="s">
        <v>1005</v>
      </c>
      <c r="I63" s="15"/>
      <c r="J63" s="15"/>
      <c r="K63" s="13" t="s">
        <v>19</v>
      </c>
      <c r="L63" s="13" t="s">
        <v>1006</v>
      </c>
    </row>
    <row r="64" ht="22.5" customHeight="1">
      <c r="A64" s="2" t="s">
        <v>325</v>
      </c>
      <c r="B64" s="2" t="s">
        <v>326</v>
      </c>
      <c r="C64" s="14" t="s">
        <v>899</v>
      </c>
      <c r="D64" s="14" t="s">
        <v>1007</v>
      </c>
      <c r="E64" s="14" t="s">
        <v>901</v>
      </c>
      <c r="F64" s="28" t="s">
        <v>895</v>
      </c>
      <c r="G64" s="27" t="s">
        <v>895</v>
      </c>
      <c r="H64" s="13" t="s">
        <v>1008</v>
      </c>
      <c r="I64" s="15"/>
      <c r="J64" s="15"/>
      <c r="K64" s="13" t="s">
        <v>19</v>
      </c>
      <c r="L64" s="13" t="s">
        <v>1009</v>
      </c>
    </row>
    <row r="65" ht="22.5" customHeight="1">
      <c r="A65" s="2" t="s">
        <v>331</v>
      </c>
      <c r="B65" s="2" t="s">
        <v>332</v>
      </c>
      <c r="C65" s="14" t="s">
        <v>899</v>
      </c>
      <c r="D65" s="14" t="s">
        <v>1010</v>
      </c>
      <c r="E65" s="14" t="s">
        <v>901</v>
      </c>
      <c r="F65" s="27" t="s">
        <v>1011</v>
      </c>
      <c r="G65" s="27" t="s">
        <v>1012</v>
      </c>
      <c r="H65" s="13" t="s">
        <v>1013</v>
      </c>
      <c r="I65" s="15"/>
      <c r="J65" s="15"/>
      <c r="K65" s="13" t="s">
        <v>19</v>
      </c>
      <c r="L65" s="13" t="s">
        <v>1014</v>
      </c>
    </row>
    <row r="66" ht="22.5" customHeight="1">
      <c r="A66" s="2" t="s">
        <v>339</v>
      </c>
      <c r="B66" s="2" t="s">
        <v>340</v>
      </c>
      <c r="C66" s="14" t="s">
        <v>899</v>
      </c>
      <c r="D66" s="14" t="s">
        <v>1015</v>
      </c>
      <c r="E66" s="14" t="s">
        <v>968</v>
      </c>
      <c r="F66" s="13" t="s">
        <v>1016</v>
      </c>
      <c r="G66" s="27" t="s">
        <v>1017</v>
      </c>
      <c r="H66" s="13" t="s">
        <v>1018</v>
      </c>
      <c r="I66" s="15"/>
      <c r="J66" s="14" t="s">
        <v>1019</v>
      </c>
      <c r="K66" s="13" t="s">
        <v>19</v>
      </c>
      <c r="L66" s="13" t="s">
        <v>1020</v>
      </c>
    </row>
    <row r="67" ht="22.5" customHeight="1">
      <c r="A67" s="2" t="s">
        <v>345</v>
      </c>
      <c r="B67" s="2" t="s">
        <v>346</v>
      </c>
      <c r="C67" s="3" t="s">
        <v>899</v>
      </c>
      <c r="D67" s="3" t="s">
        <v>1021</v>
      </c>
      <c r="E67" s="3" t="s">
        <v>968</v>
      </c>
      <c r="F67" s="2" t="s">
        <v>1022</v>
      </c>
      <c r="G67" s="2" t="s">
        <v>1023</v>
      </c>
      <c r="H67" s="2" t="s">
        <v>1024</v>
      </c>
      <c r="I67" s="29"/>
      <c r="J67" s="29"/>
      <c r="K67" s="2" t="s">
        <v>19</v>
      </c>
      <c r="L67" s="2" t="s">
        <v>1025</v>
      </c>
    </row>
    <row r="68" ht="22.5" customHeight="1">
      <c r="A68" s="2" t="s">
        <v>351</v>
      </c>
      <c r="B68" s="2" t="s">
        <v>352</v>
      </c>
      <c r="C68" s="3" t="s">
        <v>899</v>
      </c>
      <c r="D68" s="3" t="s">
        <v>1026</v>
      </c>
      <c r="E68" s="3" t="s">
        <v>968</v>
      </c>
      <c r="F68" s="2" t="s">
        <v>1027</v>
      </c>
      <c r="G68" s="2" t="s">
        <v>1028</v>
      </c>
      <c r="H68" s="2" t="s">
        <v>1029</v>
      </c>
      <c r="I68" s="29"/>
      <c r="J68" s="3" t="s">
        <v>1019</v>
      </c>
      <c r="K68" s="2" t="s">
        <v>19</v>
      </c>
      <c r="L68" s="2" t="s">
        <v>1030</v>
      </c>
    </row>
    <row r="69" ht="22.5" customHeight="1">
      <c r="A69" s="2" t="s">
        <v>356</v>
      </c>
      <c r="B69" s="2" t="s">
        <v>357</v>
      </c>
      <c r="C69" s="3" t="s">
        <v>899</v>
      </c>
      <c r="D69" s="3" t="s">
        <v>1031</v>
      </c>
      <c r="E69" s="3" t="s">
        <v>901</v>
      </c>
      <c r="F69" s="2" t="s">
        <v>1032</v>
      </c>
      <c r="G69" s="2" t="s">
        <v>1033</v>
      </c>
      <c r="H69" s="2" t="s">
        <v>1034</v>
      </c>
      <c r="I69" s="29"/>
      <c r="J69" s="29"/>
      <c r="K69" s="2" t="s">
        <v>19</v>
      </c>
      <c r="L69" s="2" t="s">
        <v>1035</v>
      </c>
    </row>
    <row r="70" ht="22.5" customHeight="1">
      <c r="A70" s="2" t="s">
        <v>360</v>
      </c>
      <c r="B70" s="2" t="s">
        <v>361</v>
      </c>
      <c r="C70" s="3" t="s">
        <v>899</v>
      </c>
      <c r="D70" s="3" t="s">
        <v>1036</v>
      </c>
      <c r="E70" s="3" t="s">
        <v>901</v>
      </c>
      <c r="F70" s="2" t="s">
        <v>1037</v>
      </c>
      <c r="G70" s="2" t="s">
        <v>1038</v>
      </c>
      <c r="H70" s="2" t="s">
        <v>1039</v>
      </c>
      <c r="I70" s="29"/>
      <c r="J70" s="29"/>
      <c r="K70" s="2" t="s">
        <v>19</v>
      </c>
      <c r="L70" s="2" t="s">
        <v>1040</v>
      </c>
    </row>
    <row r="71" ht="22.5" customHeight="1">
      <c r="A71" s="2" t="s">
        <v>367</v>
      </c>
      <c r="B71" s="2" t="s">
        <v>368</v>
      </c>
      <c r="C71" s="3" t="s">
        <v>899</v>
      </c>
      <c r="D71" s="3" t="s">
        <v>1036</v>
      </c>
      <c r="E71" s="3" t="s">
        <v>929</v>
      </c>
      <c r="F71" s="5"/>
      <c r="G71" s="2" t="s">
        <v>1041</v>
      </c>
      <c r="H71" s="2" t="s">
        <v>1039</v>
      </c>
      <c r="I71" s="29"/>
      <c r="J71" s="29"/>
      <c r="K71" s="2" t="s">
        <v>19</v>
      </c>
      <c r="L71" s="2" t="s">
        <v>1042</v>
      </c>
    </row>
    <row r="72" ht="22.5" customHeight="1">
      <c r="A72" s="2" t="s">
        <v>370</v>
      </c>
      <c r="B72" s="2" t="s">
        <v>371</v>
      </c>
      <c r="C72" s="3" t="s">
        <v>899</v>
      </c>
      <c r="D72" s="3" t="s">
        <v>1043</v>
      </c>
      <c r="E72" s="3" t="s">
        <v>901</v>
      </c>
      <c r="F72" s="2" t="s">
        <v>1044</v>
      </c>
      <c r="G72" s="2" t="s">
        <v>1045</v>
      </c>
      <c r="H72" s="2" t="s">
        <v>1046</v>
      </c>
      <c r="I72" s="29"/>
      <c r="J72" s="29"/>
      <c r="K72" s="2" t="s">
        <v>19</v>
      </c>
      <c r="L72" s="2" t="s">
        <v>1047</v>
      </c>
    </row>
    <row r="73" ht="22.5" customHeight="1">
      <c r="A73" s="2" t="s">
        <v>377</v>
      </c>
      <c r="B73" s="2" t="s">
        <v>378</v>
      </c>
      <c r="C73" s="3" t="s">
        <v>899</v>
      </c>
      <c r="D73" s="3" t="s">
        <v>1043</v>
      </c>
      <c r="E73" s="3" t="s">
        <v>929</v>
      </c>
      <c r="F73" s="5"/>
      <c r="G73" s="2" t="s">
        <v>1048</v>
      </c>
      <c r="H73" s="2" t="s">
        <v>1046</v>
      </c>
      <c r="I73" s="29"/>
      <c r="J73" s="29"/>
      <c r="K73" s="2" t="s">
        <v>19</v>
      </c>
      <c r="L73" s="2" t="s">
        <v>1049</v>
      </c>
    </row>
    <row r="74" ht="22.5" customHeight="1">
      <c r="A74" s="2" t="s">
        <v>381</v>
      </c>
      <c r="B74" s="2" t="s">
        <v>382</v>
      </c>
      <c r="C74" s="3" t="s">
        <v>899</v>
      </c>
      <c r="D74" s="3" t="s">
        <v>1050</v>
      </c>
      <c r="E74" s="3" t="s">
        <v>1051</v>
      </c>
      <c r="F74" s="2" t="s">
        <v>895</v>
      </c>
      <c r="G74" s="2" t="s">
        <v>895</v>
      </c>
      <c r="H74" s="2" t="s">
        <v>1052</v>
      </c>
      <c r="I74" s="29"/>
      <c r="J74" s="29"/>
      <c r="K74" s="2" t="s">
        <v>19</v>
      </c>
      <c r="L74" s="2" t="s">
        <v>1053</v>
      </c>
    </row>
    <row r="75" ht="22.5" customHeight="1">
      <c r="A75" s="2" t="s">
        <v>387</v>
      </c>
      <c r="B75" s="2" t="s">
        <v>388</v>
      </c>
      <c r="C75" s="3" t="s">
        <v>899</v>
      </c>
      <c r="D75" s="3" t="s">
        <v>1054</v>
      </c>
      <c r="E75" s="3" t="s">
        <v>968</v>
      </c>
      <c r="F75" s="2" t="s">
        <v>895</v>
      </c>
      <c r="G75" s="2" t="s">
        <v>895</v>
      </c>
      <c r="H75" s="2" t="s">
        <v>1055</v>
      </c>
      <c r="I75" s="29"/>
      <c r="J75" s="29"/>
      <c r="K75" s="2" t="s">
        <v>19</v>
      </c>
      <c r="L75" s="2" t="s">
        <v>1056</v>
      </c>
    </row>
    <row r="76" ht="22.5" customHeight="1">
      <c r="A76" s="2" t="s">
        <v>396</v>
      </c>
      <c r="B76" s="2" t="s">
        <v>397</v>
      </c>
      <c r="C76" s="3" t="s">
        <v>899</v>
      </c>
      <c r="D76" s="3" t="s">
        <v>1057</v>
      </c>
      <c r="E76" s="3" t="s">
        <v>929</v>
      </c>
      <c r="F76" s="2" t="s">
        <v>895</v>
      </c>
      <c r="G76" s="2" t="s">
        <v>895</v>
      </c>
      <c r="H76" s="2" t="s">
        <v>1058</v>
      </c>
      <c r="I76" s="29"/>
      <c r="J76" s="29"/>
      <c r="K76" s="2" t="s">
        <v>19</v>
      </c>
      <c r="L76" s="2" t="s">
        <v>1059</v>
      </c>
    </row>
    <row r="77" ht="22.5" customHeight="1">
      <c r="A77" s="2" t="s">
        <v>402</v>
      </c>
      <c r="B77" s="2" t="s">
        <v>403</v>
      </c>
      <c r="C77" s="3" t="s">
        <v>899</v>
      </c>
      <c r="D77" s="3" t="s">
        <v>1060</v>
      </c>
      <c r="E77" s="3" t="s">
        <v>968</v>
      </c>
      <c r="F77" s="2" t="s">
        <v>1061</v>
      </c>
      <c r="G77" s="2" t="s">
        <v>1062</v>
      </c>
      <c r="H77" s="2" t="s">
        <v>1063</v>
      </c>
      <c r="I77" s="29"/>
      <c r="J77" s="29"/>
      <c r="K77" s="2" t="s">
        <v>19</v>
      </c>
      <c r="L77" s="2" t="s">
        <v>1064</v>
      </c>
    </row>
    <row r="78" ht="22.5" customHeight="1">
      <c r="A78" s="2" t="s">
        <v>409</v>
      </c>
      <c r="B78" s="2" t="s">
        <v>410</v>
      </c>
      <c r="C78" s="3" t="s">
        <v>899</v>
      </c>
      <c r="D78" s="3" t="s">
        <v>1065</v>
      </c>
      <c r="E78" s="3" t="s">
        <v>996</v>
      </c>
      <c r="F78" s="2" t="s">
        <v>895</v>
      </c>
      <c r="G78" s="2" t="s">
        <v>895</v>
      </c>
      <c r="H78" s="2" t="s">
        <v>1058</v>
      </c>
      <c r="I78" s="29"/>
      <c r="J78" s="29"/>
      <c r="K78" s="2" t="s">
        <v>19</v>
      </c>
      <c r="L78" s="2" t="s">
        <v>1066</v>
      </c>
    </row>
    <row r="79" ht="22.5" customHeight="1">
      <c r="A79" s="2" t="s">
        <v>415</v>
      </c>
      <c r="B79" s="2" t="s">
        <v>1067</v>
      </c>
      <c r="C79" s="4" t="s">
        <v>899</v>
      </c>
      <c r="D79" s="4" t="s">
        <v>1068</v>
      </c>
      <c r="E79" s="4" t="s">
        <v>996</v>
      </c>
      <c r="F79" s="2" t="s">
        <v>1069</v>
      </c>
      <c r="G79" s="2" t="s">
        <v>1070</v>
      </c>
      <c r="H79" s="2" t="s">
        <v>1071</v>
      </c>
      <c r="I79" s="4"/>
      <c r="J79" s="4"/>
      <c r="K79" s="2" t="s">
        <v>19</v>
      </c>
      <c r="L79" s="2" t="s">
        <v>1072</v>
      </c>
    </row>
    <row r="80" ht="22.5" customHeight="1">
      <c r="A80" s="2" t="s">
        <v>423</v>
      </c>
      <c r="B80" s="2" t="s">
        <v>424</v>
      </c>
      <c r="C80" s="4" t="s">
        <v>1073</v>
      </c>
      <c r="D80" s="4" t="s">
        <v>1074</v>
      </c>
      <c r="E80" s="4" t="s">
        <v>901</v>
      </c>
      <c r="F80" s="2" t="s">
        <v>1075</v>
      </c>
      <c r="G80" s="2" t="s">
        <v>1076</v>
      </c>
      <c r="H80" s="2" t="s">
        <v>1077</v>
      </c>
      <c r="I80" s="4"/>
      <c r="J80" s="4"/>
      <c r="K80" s="2" t="s">
        <v>19</v>
      </c>
      <c r="L80" s="2" t="s">
        <v>1078</v>
      </c>
    </row>
    <row r="81" ht="22.5" customHeight="1">
      <c r="A81" s="2" t="s">
        <v>430</v>
      </c>
      <c r="B81" s="2" t="s">
        <v>431</v>
      </c>
      <c r="C81" s="4" t="s">
        <v>899</v>
      </c>
      <c r="D81" s="4" t="s">
        <v>1074</v>
      </c>
      <c r="E81" s="4" t="s">
        <v>929</v>
      </c>
      <c r="F81" s="2" t="s">
        <v>1079</v>
      </c>
      <c r="G81" s="2" t="s">
        <v>1080</v>
      </c>
      <c r="H81" s="2" t="s">
        <v>1081</v>
      </c>
      <c r="I81" s="4"/>
      <c r="J81" s="4"/>
      <c r="K81" s="2" t="s">
        <v>19</v>
      </c>
      <c r="L81" s="2" t="s">
        <v>1082</v>
      </c>
    </row>
    <row r="82" ht="22.5" customHeight="1">
      <c r="A82" s="6" t="s">
        <v>436</v>
      </c>
      <c r="B82" s="6" t="s">
        <v>437</v>
      </c>
      <c r="C82" s="4" t="s">
        <v>899</v>
      </c>
      <c r="D82" s="4" t="s">
        <v>1083</v>
      </c>
      <c r="E82" s="4" t="s">
        <v>968</v>
      </c>
      <c r="F82" s="6" t="s">
        <v>1084</v>
      </c>
      <c r="G82" s="6" t="s">
        <v>1085</v>
      </c>
      <c r="H82" s="6" t="s">
        <v>1086</v>
      </c>
      <c r="I82" s="29"/>
      <c r="J82" s="29"/>
      <c r="K82" s="6" t="s">
        <v>19</v>
      </c>
      <c r="L82" s="6" t="s">
        <v>1087</v>
      </c>
    </row>
    <row r="83" ht="22.5" customHeight="1">
      <c r="A83" s="6" t="s">
        <v>442</v>
      </c>
      <c r="B83" s="6" t="s">
        <v>443</v>
      </c>
      <c r="C83" s="4" t="s">
        <v>899</v>
      </c>
      <c r="D83" s="4" t="s">
        <v>1088</v>
      </c>
      <c r="E83" s="4" t="s">
        <v>894</v>
      </c>
      <c r="F83" s="6" t="s">
        <v>1089</v>
      </c>
      <c r="G83" s="6" t="s">
        <v>1090</v>
      </c>
      <c r="H83" s="6" t="s">
        <v>1091</v>
      </c>
      <c r="I83" s="29"/>
      <c r="J83" s="29"/>
      <c r="K83" s="6" t="s">
        <v>19</v>
      </c>
      <c r="L83" s="6" t="s">
        <v>1092</v>
      </c>
    </row>
    <row r="84" ht="22.5" customHeight="1">
      <c r="A84" s="6" t="s">
        <v>448</v>
      </c>
      <c r="B84" s="6" t="s">
        <v>449</v>
      </c>
      <c r="C84" s="4" t="s">
        <v>899</v>
      </c>
      <c r="D84" s="4" t="s">
        <v>1093</v>
      </c>
      <c r="E84" s="4" t="s">
        <v>925</v>
      </c>
      <c r="F84" s="6" t="s">
        <v>1094</v>
      </c>
      <c r="G84" s="6" t="s">
        <v>1095</v>
      </c>
      <c r="H84" s="6" t="s">
        <v>1096</v>
      </c>
      <c r="I84" s="29"/>
      <c r="J84" s="29"/>
      <c r="K84" s="6" t="s">
        <v>19</v>
      </c>
      <c r="L84" s="6" t="s">
        <v>1097</v>
      </c>
    </row>
    <row r="85" ht="22.5" customHeight="1">
      <c r="A85" s="6" t="s">
        <v>454</v>
      </c>
      <c r="B85" s="6" t="s">
        <v>455</v>
      </c>
      <c r="C85" s="4" t="s">
        <v>899</v>
      </c>
      <c r="D85" s="4" t="s">
        <v>1098</v>
      </c>
      <c r="E85" s="4" t="s">
        <v>925</v>
      </c>
      <c r="F85" s="6" t="s">
        <v>1099</v>
      </c>
      <c r="G85" s="6" t="s">
        <v>1095</v>
      </c>
      <c r="H85" s="6" t="s">
        <v>1100</v>
      </c>
      <c r="I85" s="29"/>
      <c r="J85" s="29"/>
      <c r="K85" s="6" t="s">
        <v>19</v>
      </c>
      <c r="L85" s="6" t="s">
        <v>1101</v>
      </c>
    </row>
    <row r="86" ht="22.5" customHeight="1">
      <c r="A86" s="6" t="s">
        <v>459</v>
      </c>
      <c r="B86" s="6" t="s">
        <v>460</v>
      </c>
      <c r="C86" s="4" t="s">
        <v>899</v>
      </c>
      <c r="D86" s="4" t="s">
        <v>1102</v>
      </c>
      <c r="E86" s="4" t="s">
        <v>901</v>
      </c>
      <c r="F86" s="6" t="s">
        <v>1103</v>
      </c>
      <c r="G86" s="6" t="s">
        <v>1104</v>
      </c>
      <c r="H86" s="6" t="s">
        <v>1105</v>
      </c>
      <c r="I86" s="29"/>
      <c r="J86" s="29"/>
      <c r="K86" s="6" t="s">
        <v>19</v>
      </c>
      <c r="L86" s="6" t="s">
        <v>1106</v>
      </c>
    </row>
    <row r="87" ht="22.5" customHeight="1">
      <c r="A87" s="6" t="s">
        <v>465</v>
      </c>
      <c r="B87" s="6" t="s">
        <v>466</v>
      </c>
      <c r="C87" s="4" t="s">
        <v>899</v>
      </c>
      <c r="D87" s="4" t="s">
        <v>1107</v>
      </c>
      <c r="E87" s="4" t="s">
        <v>901</v>
      </c>
      <c r="F87" s="6" t="s">
        <v>1108</v>
      </c>
      <c r="G87" s="6" t="s">
        <v>1109</v>
      </c>
      <c r="H87" s="6" t="s">
        <v>1110</v>
      </c>
      <c r="I87" s="29"/>
      <c r="J87" s="29"/>
      <c r="K87" s="6" t="s">
        <v>19</v>
      </c>
      <c r="L87" s="6" t="s">
        <v>1111</v>
      </c>
    </row>
    <row r="88" ht="22.5" customHeight="1">
      <c r="A88" s="6" t="s">
        <v>471</v>
      </c>
      <c r="B88" s="6" t="s">
        <v>472</v>
      </c>
      <c r="C88" s="4" t="s">
        <v>899</v>
      </c>
      <c r="D88" s="4" t="s">
        <v>1102</v>
      </c>
      <c r="E88" s="4" t="s">
        <v>929</v>
      </c>
      <c r="F88" s="6" t="s">
        <v>1112</v>
      </c>
      <c r="G88" s="6" t="s">
        <v>1113</v>
      </c>
      <c r="H88" s="6" t="s">
        <v>1114</v>
      </c>
      <c r="I88" s="29"/>
      <c r="J88" s="29"/>
      <c r="K88" s="6" t="s">
        <v>19</v>
      </c>
      <c r="L88" s="6" t="s">
        <v>1115</v>
      </c>
    </row>
    <row r="89" ht="22.5" customHeight="1">
      <c r="A89" s="6" t="s">
        <v>476</v>
      </c>
      <c r="B89" s="6" t="s">
        <v>477</v>
      </c>
      <c r="C89" s="4" t="s">
        <v>899</v>
      </c>
      <c r="D89" s="4" t="s">
        <v>1116</v>
      </c>
      <c r="E89" s="4" t="s">
        <v>929</v>
      </c>
      <c r="F89" s="6" t="s">
        <v>1117</v>
      </c>
      <c r="G89" s="6" t="s">
        <v>1118</v>
      </c>
      <c r="H89" s="6" t="s">
        <v>1119</v>
      </c>
      <c r="I89" s="29"/>
      <c r="J89" s="29"/>
      <c r="K89" s="6" t="s">
        <v>19</v>
      </c>
      <c r="L89" s="6" t="s">
        <v>1120</v>
      </c>
    </row>
    <row r="90" ht="22.5" customHeight="1">
      <c r="A90" s="6" t="s">
        <v>482</v>
      </c>
      <c r="B90" s="6" t="s">
        <v>483</v>
      </c>
      <c r="C90" s="4" t="s">
        <v>899</v>
      </c>
      <c r="D90" s="4" t="s">
        <v>1121</v>
      </c>
      <c r="E90" s="4" t="s">
        <v>901</v>
      </c>
      <c r="F90" s="6" t="s">
        <v>1122</v>
      </c>
      <c r="G90" s="6" t="s">
        <v>1123</v>
      </c>
      <c r="H90" s="6" t="s">
        <v>1124</v>
      </c>
      <c r="I90" s="29"/>
      <c r="J90" s="29"/>
      <c r="K90" s="6" t="s">
        <v>19</v>
      </c>
      <c r="L90" s="6" t="s">
        <v>1125</v>
      </c>
    </row>
    <row r="91" ht="22.5" customHeight="1">
      <c r="A91" s="6" t="s">
        <v>489</v>
      </c>
      <c r="B91" s="6" t="s">
        <v>490</v>
      </c>
      <c r="C91" s="4" t="s">
        <v>899</v>
      </c>
      <c r="D91" s="4" t="s">
        <v>1126</v>
      </c>
      <c r="E91" s="4" t="s">
        <v>901</v>
      </c>
      <c r="F91" s="6" t="s">
        <v>1127</v>
      </c>
      <c r="G91" s="6" t="s">
        <v>1128</v>
      </c>
      <c r="H91" s="6" t="s">
        <v>1129</v>
      </c>
      <c r="I91" s="29"/>
      <c r="J91" s="29"/>
      <c r="K91" s="6" t="s">
        <v>19</v>
      </c>
      <c r="L91" s="6" t="s">
        <v>1130</v>
      </c>
    </row>
    <row r="92">
      <c r="A92" s="22"/>
      <c r="B92" s="22"/>
      <c r="C92" s="22"/>
      <c r="D92" s="22"/>
      <c r="E92" s="22"/>
      <c r="F92" s="22"/>
      <c r="G92" s="22"/>
      <c r="H92" s="22"/>
      <c r="I92" s="22"/>
      <c r="J92" s="22"/>
      <c r="K92" s="22"/>
      <c r="L92" s="22"/>
    </row>
    <row r="93">
      <c r="A93" s="22"/>
      <c r="B93" s="22"/>
      <c r="C93" s="22"/>
      <c r="D93" s="22"/>
      <c r="E93" s="22"/>
      <c r="F93" s="22"/>
      <c r="G93" s="22"/>
      <c r="H93" s="22"/>
      <c r="I93" s="22"/>
      <c r="J93" s="22"/>
      <c r="K93" s="22"/>
      <c r="L93" s="22"/>
    </row>
    <row r="94">
      <c r="A94" s="22"/>
      <c r="B94" s="22"/>
      <c r="C94" s="22"/>
      <c r="D94" s="22"/>
      <c r="E94" s="22"/>
      <c r="F94" s="22"/>
      <c r="G94" s="22"/>
      <c r="H94" s="22"/>
      <c r="I94" s="22"/>
      <c r="J94" s="22"/>
      <c r="K94" s="22"/>
      <c r="L94" s="22"/>
    </row>
    <row r="95">
      <c r="A95" s="22"/>
      <c r="B95" s="22"/>
      <c r="C95" s="22"/>
      <c r="D95" s="22"/>
      <c r="E95" s="22"/>
      <c r="F95" s="22"/>
      <c r="G95" s="22"/>
      <c r="H95" s="22"/>
      <c r="I95" s="22"/>
      <c r="J95" s="22"/>
      <c r="K95" s="22"/>
      <c r="L95" s="22"/>
    </row>
    <row r="96">
      <c r="A96" s="22"/>
      <c r="B96" s="22"/>
      <c r="C96" s="22"/>
      <c r="D96" s="22"/>
      <c r="E96" s="22"/>
      <c r="F96" s="22"/>
      <c r="G96" s="22"/>
      <c r="H96" s="22"/>
      <c r="I96" s="22"/>
      <c r="J96" s="22"/>
      <c r="K96" s="22"/>
      <c r="L96" s="22"/>
    </row>
    <row r="97">
      <c r="A97" s="22"/>
      <c r="B97" s="22"/>
      <c r="C97" s="22"/>
      <c r="D97" s="22"/>
      <c r="E97" s="22"/>
      <c r="F97" s="22"/>
      <c r="G97" s="22"/>
      <c r="H97" s="22"/>
      <c r="I97" s="22"/>
      <c r="J97" s="22"/>
      <c r="K97" s="22"/>
      <c r="L97" s="22"/>
    </row>
    <row r="98">
      <c r="A98" s="22"/>
      <c r="B98" s="22"/>
      <c r="C98" s="22"/>
      <c r="D98" s="22"/>
      <c r="E98" s="22"/>
      <c r="F98" s="22"/>
      <c r="G98" s="22"/>
      <c r="H98" s="22"/>
      <c r="I98" s="22"/>
      <c r="J98" s="22"/>
      <c r="K98" s="22"/>
      <c r="L98" s="22"/>
    </row>
    <row r="99">
      <c r="A99" s="22"/>
      <c r="B99" s="22"/>
      <c r="C99" s="22"/>
      <c r="D99" s="22"/>
      <c r="E99" s="22"/>
      <c r="F99" s="22"/>
      <c r="G99" s="22"/>
      <c r="H99" s="22"/>
      <c r="I99" s="22"/>
      <c r="J99" s="22"/>
      <c r="K99" s="22"/>
      <c r="L99" s="22"/>
    </row>
    <row r="100">
      <c r="A100" s="22"/>
      <c r="B100" s="22"/>
      <c r="C100" s="22"/>
      <c r="D100" s="22"/>
      <c r="E100" s="22"/>
      <c r="F100" s="22"/>
      <c r="G100" s="22"/>
      <c r="H100" s="22"/>
      <c r="I100" s="22"/>
      <c r="J100" s="22"/>
      <c r="K100" s="22"/>
      <c r="L100" s="22"/>
    </row>
    <row r="101">
      <c r="A101" s="22"/>
      <c r="B101" s="22"/>
      <c r="C101" s="22"/>
      <c r="D101" s="22"/>
      <c r="E101" s="22"/>
      <c r="F101" s="22"/>
      <c r="G101" s="22"/>
      <c r="H101" s="22"/>
      <c r="I101" s="22"/>
      <c r="J101" s="22"/>
      <c r="K101" s="22"/>
      <c r="L101" s="22"/>
    </row>
    <row r="102">
      <c r="A102" s="22"/>
      <c r="B102" s="22"/>
      <c r="C102" s="22"/>
      <c r="D102" s="22"/>
      <c r="E102" s="22"/>
      <c r="F102" s="22"/>
      <c r="G102" s="22"/>
      <c r="H102" s="22"/>
      <c r="I102" s="22"/>
      <c r="J102" s="22"/>
      <c r="K102" s="22"/>
      <c r="L102" s="22"/>
    </row>
    <row r="103">
      <c r="A103" s="22"/>
      <c r="B103" s="22"/>
      <c r="C103" s="22"/>
      <c r="D103" s="22"/>
      <c r="E103" s="22"/>
      <c r="F103" s="22"/>
      <c r="G103" s="22"/>
      <c r="H103" s="22"/>
      <c r="I103" s="22"/>
      <c r="J103" s="22"/>
      <c r="K103" s="22"/>
      <c r="L103" s="22"/>
    </row>
    <row r="104">
      <c r="A104" s="22"/>
      <c r="B104" s="22"/>
      <c r="C104" s="22"/>
      <c r="D104" s="22"/>
      <c r="E104" s="22"/>
      <c r="F104" s="22"/>
      <c r="G104" s="22"/>
      <c r="H104" s="22"/>
      <c r="I104" s="22"/>
      <c r="J104" s="22"/>
      <c r="K104" s="22"/>
      <c r="L104" s="22"/>
    </row>
    <row r="105">
      <c r="A105" s="22"/>
      <c r="B105" s="22"/>
      <c r="C105" s="22"/>
      <c r="D105" s="22"/>
      <c r="E105" s="22"/>
      <c r="F105" s="22"/>
      <c r="G105" s="22"/>
      <c r="H105" s="22"/>
      <c r="I105" s="22"/>
      <c r="J105" s="22"/>
      <c r="K105" s="22"/>
      <c r="L105" s="22"/>
    </row>
    <row r="106">
      <c r="A106" s="22"/>
      <c r="B106" s="22"/>
      <c r="C106" s="22"/>
      <c r="D106" s="22"/>
      <c r="E106" s="22"/>
      <c r="F106" s="22"/>
      <c r="G106" s="22"/>
      <c r="H106" s="22"/>
      <c r="I106" s="22"/>
      <c r="J106" s="22"/>
      <c r="K106" s="22"/>
      <c r="L106" s="22"/>
    </row>
    <row r="107">
      <c r="A107" s="22"/>
      <c r="B107" s="22"/>
      <c r="C107" s="22"/>
      <c r="D107" s="22"/>
      <c r="E107" s="22"/>
      <c r="F107" s="22"/>
      <c r="G107" s="22"/>
      <c r="H107" s="22"/>
      <c r="I107" s="22"/>
      <c r="J107" s="22"/>
      <c r="K107" s="22"/>
      <c r="L107" s="22"/>
    </row>
    <row r="108">
      <c r="A108" s="22"/>
      <c r="B108" s="22"/>
      <c r="C108" s="22"/>
      <c r="D108" s="22"/>
      <c r="E108" s="22"/>
      <c r="F108" s="22"/>
      <c r="G108" s="22"/>
      <c r="H108" s="22"/>
      <c r="I108" s="22"/>
      <c r="J108" s="22"/>
      <c r="K108" s="22"/>
      <c r="L108" s="22"/>
    </row>
    <row r="109">
      <c r="A109" s="22"/>
      <c r="B109" s="22"/>
      <c r="C109" s="22"/>
      <c r="D109" s="22"/>
      <c r="E109" s="22"/>
      <c r="F109" s="22"/>
      <c r="G109" s="22"/>
      <c r="H109" s="22"/>
      <c r="I109" s="22"/>
      <c r="J109" s="22"/>
      <c r="K109" s="22"/>
      <c r="L109" s="22"/>
    </row>
    <row r="110">
      <c r="A110" s="22"/>
      <c r="B110" s="22"/>
      <c r="C110" s="22"/>
      <c r="D110" s="22"/>
      <c r="E110" s="22"/>
      <c r="F110" s="22"/>
      <c r="G110" s="22"/>
      <c r="H110" s="22"/>
      <c r="I110" s="22"/>
      <c r="J110" s="22"/>
      <c r="K110" s="22"/>
      <c r="L110" s="22"/>
    </row>
    <row r="111">
      <c r="A111" s="22"/>
      <c r="B111" s="22"/>
      <c r="C111" s="22"/>
      <c r="D111" s="22"/>
      <c r="E111" s="22"/>
      <c r="F111" s="22"/>
      <c r="G111" s="22"/>
      <c r="H111" s="22"/>
      <c r="I111" s="22"/>
      <c r="J111" s="22"/>
      <c r="K111" s="22"/>
      <c r="L111" s="22"/>
    </row>
    <row r="112">
      <c r="A112" s="22"/>
      <c r="B112" s="22"/>
      <c r="C112" s="22"/>
      <c r="D112" s="22"/>
      <c r="E112" s="22"/>
      <c r="F112" s="22"/>
      <c r="G112" s="22"/>
      <c r="H112" s="22"/>
      <c r="I112" s="22"/>
      <c r="J112" s="22"/>
      <c r="K112" s="22"/>
      <c r="L112" s="22"/>
    </row>
    <row r="113">
      <c r="A113" s="22"/>
      <c r="B113" s="22"/>
      <c r="C113" s="22"/>
      <c r="D113" s="22"/>
      <c r="E113" s="22"/>
      <c r="F113" s="22"/>
      <c r="G113" s="22"/>
      <c r="H113" s="22"/>
      <c r="I113" s="22"/>
      <c r="J113" s="22"/>
      <c r="K113" s="22"/>
      <c r="L113" s="22"/>
    </row>
    <row r="114">
      <c r="A114" s="22"/>
      <c r="B114" s="22"/>
      <c r="C114" s="22"/>
      <c r="D114" s="22"/>
      <c r="E114" s="22"/>
      <c r="F114" s="22"/>
      <c r="G114" s="22"/>
      <c r="H114" s="22"/>
      <c r="I114" s="22"/>
      <c r="J114" s="22"/>
      <c r="K114" s="22"/>
      <c r="L114" s="22"/>
    </row>
    <row r="115">
      <c r="A115" s="22"/>
      <c r="B115" s="22"/>
      <c r="C115" s="22"/>
      <c r="D115" s="22"/>
      <c r="E115" s="22"/>
      <c r="F115" s="22"/>
      <c r="G115" s="22"/>
      <c r="H115" s="22"/>
      <c r="I115" s="22"/>
      <c r="J115" s="22"/>
      <c r="K115" s="22"/>
      <c r="L115" s="22"/>
    </row>
    <row r="116">
      <c r="A116" s="22"/>
      <c r="B116" s="22"/>
      <c r="C116" s="22"/>
      <c r="D116" s="22"/>
      <c r="E116" s="22"/>
      <c r="F116" s="22"/>
      <c r="G116" s="22"/>
      <c r="H116" s="22"/>
      <c r="I116" s="22"/>
      <c r="J116" s="22"/>
      <c r="K116" s="22"/>
      <c r="L116" s="22"/>
    </row>
    <row r="117">
      <c r="A117" s="22"/>
      <c r="B117" s="22"/>
      <c r="C117" s="22"/>
      <c r="D117" s="22"/>
      <c r="E117" s="22"/>
      <c r="F117" s="22"/>
      <c r="G117" s="22"/>
      <c r="H117" s="22"/>
      <c r="I117" s="22"/>
      <c r="J117" s="22"/>
      <c r="K117" s="22"/>
      <c r="L117" s="22"/>
    </row>
    <row r="118">
      <c r="A118" s="22"/>
      <c r="B118" s="22"/>
      <c r="C118" s="22"/>
      <c r="D118" s="22"/>
      <c r="E118" s="22"/>
      <c r="F118" s="22"/>
      <c r="G118" s="22"/>
      <c r="H118" s="22"/>
      <c r="I118" s="22"/>
      <c r="J118" s="22"/>
      <c r="K118" s="22"/>
      <c r="L118" s="22"/>
    </row>
    <row r="119">
      <c r="A119" s="22"/>
      <c r="B119" s="22"/>
      <c r="C119" s="22"/>
      <c r="D119" s="22"/>
      <c r="E119" s="22"/>
      <c r="F119" s="22"/>
      <c r="G119" s="22"/>
      <c r="H119" s="22"/>
      <c r="I119" s="22"/>
      <c r="J119" s="22"/>
      <c r="K119" s="22"/>
      <c r="L119" s="22"/>
    </row>
    <row r="120">
      <c r="A120" s="22"/>
      <c r="B120" s="22"/>
      <c r="C120" s="22"/>
      <c r="D120" s="22"/>
      <c r="E120" s="22"/>
      <c r="F120" s="22"/>
      <c r="G120" s="22"/>
      <c r="H120" s="22"/>
      <c r="I120" s="22"/>
      <c r="J120" s="22"/>
      <c r="K120" s="22"/>
      <c r="L120" s="22"/>
    </row>
    <row r="121">
      <c r="A121" s="22"/>
      <c r="B121" s="22"/>
      <c r="C121" s="22"/>
      <c r="D121" s="22"/>
      <c r="E121" s="22"/>
      <c r="F121" s="22"/>
      <c r="G121" s="22"/>
      <c r="H121" s="22"/>
      <c r="I121" s="22"/>
      <c r="J121" s="22"/>
      <c r="K121" s="22"/>
      <c r="L121" s="22"/>
    </row>
    <row r="122">
      <c r="A122" s="22"/>
      <c r="B122" s="22"/>
      <c r="C122" s="22"/>
      <c r="D122" s="22"/>
      <c r="E122" s="22"/>
      <c r="F122" s="22"/>
      <c r="G122" s="22"/>
      <c r="H122" s="22"/>
      <c r="I122" s="22"/>
      <c r="J122" s="22"/>
      <c r="K122" s="22"/>
      <c r="L122" s="22"/>
    </row>
    <row r="123">
      <c r="A123" s="22"/>
      <c r="B123" s="22"/>
      <c r="C123" s="22"/>
      <c r="D123" s="22"/>
      <c r="E123" s="22"/>
      <c r="F123" s="22"/>
      <c r="G123" s="22"/>
      <c r="H123" s="22"/>
      <c r="I123" s="22"/>
      <c r="J123" s="22"/>
      <c r="K123" s="22"/>
      <c r="L123" s="22"/>
    </row>
  </sheetData>
  <dataValidations>
    <dataValidation type="list" allowBlank="1" showDropDown="1" showErrorMessage="1" sqref="J2:J91">
      <formula1>"Nhật,Nghĩa"</formula1>
    </dataValidation>
    <dataValidation type="list" allowBlank="1" showDropDown="1" showErrorMessage="1" sqref="I2:I91">
      <formula1>"Giáp,Duy"</formula1>
    </dataValidation>
    <dataValidation type="list" allowBlank="1" sqref="E2:E91">
      <formula1>"GET/POST/PATCH,POST,GET"</formula1>
    </dataValidation>
    <dataValidation type="list" allowBlank="1" showDropDown="1" showErrorMessage="1" sqref="C2:C91">
      <formula1>"Admin Web,Flutter Mobile"</formula1>
    </dataValidation>
    <dataValidation type="list" allowBlank="1" showDropDown="1" showErrorMessage="1" sqref="D2:D91">
      <formula1>"/api/admin,/api/auth,/api/families,/api/finance,/api/wallets,/api/tasks,/api/sos-alerts"</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32.63"/>
    <col customWidth="1" min="3" max="3" width="15.25"/>
    <col customWidth="1" min="4" max="4" width="12.0"/>
    <col customWidth="1" min="5" max="5" width="23.88"/>
    <col customWidth="1" min="6" max="7" width="37.63"/>
    <col customWidth="1" min="8" max="11" width="18.88"/>
  </cols>
  <sheetData>
    <row r="1" ht="22.5" customHeight="1">
      <c r="A1" s="1" t="s">
        <v>1131</v>
      </c>
      <c r="B1" s="1" t="s">
        <v>497</v>
      </c>
      <c r="C1" s="1" t="s">
        <v>1132</v>
      </c>
      <c r="D1" s="1" t="s">
        <v>1133</v>
      </c>
      <c r="E1" s="1" t="s">
        <v>1134</v>
      </c>
      <c r="F1" s="1" t="s">
        <v>1135</v>
      </c>
      <c r="G1" s="1" t="s">
        <v>1136</v>
      </c>
      <c r="H1" s="1" t="s">
        <v>569</v>
      </c>
      <c r="I1" s="1" t="s">
        <v>9</v>
      </c>
      <c r="J1" s="1" t="s">
        <v>1137</v>
      </c>
      <c r="K1" s="1" t="s">
        <v>10</v>
      </c>
    </row>
    <row r="2" ht="22.5" customHeight="1">
      <c r="A2" s="3" t="s">
        <v>504</v>
      </c>
      <c r="B2" s="2" t="s">
        <v>505</v>
      </c>
      <c r="C2" s="30">
        <v>1.0</v>
      </c>
      <c r="D2" s="2" t="s">
        <v>1138</v>
      </c>
      <c r="E2" s="2" t="s">
        <v>358</v>
      </c>
      <c r="F2" s="2" t="s">
        <v>1139</v>
      </c>
      <c r="G2" s="2" t="s">
        <v>1140</v>
      </c>
      <c r="H2" s="2" t="s">
        <v>1141</v>
      </c>
      <c r="I2" s="2" t="s">
        <v>1142</v>
      </c>
      <c r="J2" s="2" t="s">
        <v>1143</v>
      </c>
      <c r="K2" s="2" t="s">
        <v>1144</v>
      </c>
    </row>
    <row r="3" ht="22.5" customHeight="1">
      <c r="A3" s="3" t="s">
        <v>504</v>
      </c>
      <c r="B3" s="2" t="s">
        <v>505</v>
      </c>
      <c r="C3" s="30">
        <v>2.0</v>
      </c>
      <c r="D3" s="2" t="s">
        <v>1145</v>
      </c>
      <c r="E3" s="2" t="s">
        <v>358</v>
      </c>
      <c r="F3" s="2" t="s">
        <v>1146</v>
      </c>
      <c r="G3" s="2" t="s">
        <v>1147</v>
      </c>
      <c r="H3" s="2" t="s">
        <v>1141</v>
      </c>
      <c r="I3" s="2" t="s">
        <v>1148</v>
      </c>
      <c r="J3" s="2" t="s">
        <v>1149</v>
      </c>
      <c r="K3" s="2" t="s">
        <v>1150</v>
      </c>
    </row>
    <row r="4" ht="22.5" customHeight="1">
      <c r="A4" s="3" t="s">
        <v>504</v>
      </c>
      <c r="B4" s="2" t="s">
        <v>505</v>
      </c>
      <c r="C4" s="30">
        <v>3.0</v>
      </c>
      <c r="D4" s="2" t="s">
        <v>1151</v>
      </c>
      <c r="E4" s="2" t="s">
        <v>221</v>
      </c>
      <c r="F4" s="2" t="s">
        <v>1152</v>
      </c>
      <c r="G4" s="2" t="s">
        <v>1153</v>
      </c>
      <c r="H4" s="2" t="s">
        <v>1154</v>
      </c>
      <c r="I4" s="2" t="s">
        <v>65</v>
      </c>
      <c r="J4" s="2" t="s">
        <v>1155</v>
      </c>
      <c r="K4" s="2" t="s">
        <v>1156</v>
      </c>
    </row>
    <row r="5" ht="22.5" customHeight="1">
      <c r="A5" s="3" t="s">
        <v>504</v>
      </c>
      <c r="B5" s="2" t="s">
        <v>505</v>
      </c>
      <c r="C5" s="30">
        <v>4.0</v>
      </c>
      <c r="D5" s="2" t="s">
        <v>1151</v>
      </c>
      <c r="E5" s="2" t="s">
        <v>221</v>
      </c>
      <c r="F5" s="2" t="s">
        <v>1157</v>
      </c>
      <c r="G5" s="2" t="s">
        <v>1158</v>
      </c>
      <c r="H5" s="2" t="s">
        <v>1159</v>
      </c>
      <c r="I5" s="2" t="s">
        <v>1160</v>
      </c>
      <c r="J5" s="2" t="s">
        <v>1161</v>
      </c>
      <c r="K5" s="2" t="s">
        <v>1162</v>
      </c>
    </row>
    <row r="6" ht="22.5" customHeight="1">
      <c r="A6" s="3" t="s">
        <v>504</v>
      </c>
      <c r="B6" s="2" t="s">
        <v>505</v>
      </c>
      <c r="C6" s="30">
        <v>5.0</v>
      </c>
      <c r="D6" s="2" t="s">
        <v>1151</v>
      </c>
      <c r="E6" s="2" t="s">
        <v>221</v>
      </c>
      <c r="F6" s="2" t="s">
        <v>1163</v>
      </c>
      <c r="G6" s="2" t="s">
        <v>1164</v>
      </c>
      <c r="H6" s="2" t="s">
        <v>1165</v>
      </c>
      <c r="I6" s="2" t="s">
        <v>1166</v>
      </c>
      <c r="J6" s="2" t="s">
        <v>1167</v>
      </c>
      <c r="K6" s="2" t="s">
        <v>1168</v>
      </c>
    </row>
    <row r="7" ht="22.5" customHeight="1">
      <c r="A7" s="3" t="s">
        <v>504</v>
      </c>
      <c r="B7" s="2" t="s">
        <v>505</v>
      </c>
      <c r="C7" s="30">
        <v>6.0</v>
      </c>
      <c r="D7" s="2" t="s">
        <v>1145</v>
      </c>
      <c r="E7" s="2" t="s">
        <v>1169</v>
      </c>
      <c r="F7" s="2" t="s">
        <v>1170</v>
      </c>
      <c r="G7" s="2" t="s">
        <v>1171</v>
      </c>
      <c r="H7" s="2" t="s">
        <v>1165</v>
      </c>
      <c r="I7" s="2" t="s">
        <v>1166</v>
      </c>
      <c r="J7" s="2" t="s">
        <v>1172</v>
      </c>
      <c r="K7" s="2" t="s">
        <v>1173</v>
      </c>
    </row>
    <row r="8" ht="22.5" customHeight="1">
      <c r="A8" s="3" t="s">
        <v>504</v>
      </c>
      <c r="B8" s="2" t="s">
        <v>505</v>
      </c>
      <c r="C8" s="30">
        <v>7.0</v>
      </c>
      <c r="D8" s="2" t="s">
        <v>1151</v>
      </c>
      <c r="E8" s="2" t="s">
        <v>221</v>
      </c>
      <c r="F8" s="2" t="s">
        <v>1174</v>
      </c>
      <c r="G8" s="2" t="s">
        <v>1175</v>
      </c>
      <c r="H8" s="2" t="s">
        <v>1165</v>
      </c>
      <c r="I8" s="2" t="s">
        <v>1176</v>
      </c>
      <c r="J8" s="2" t="s">
        <v>1177</v>
      </c>
      <c r="K8" s="2" t="s">
        <v>1178</v>
      </c>
    </row>
    <row r="9" ht="22.5" customHeight="1">
      <c r="A9" s="3" t="s">
        <v>504</v>
      </c>
      <c r="B9" s="2" t="s">
        <v>505</v>
      </c>
      <c r="C9" s="30">
        <v>8.0</v>
      </c>
      <c r="D9" s="2" t="s">
        <v>1151</v>
      </c>
      <c r="E9" s="2" t="s">
        <v>221</v>
      </c>
      <c r="F9" s="2" t="s">
        <v>1179</v>
      </c>
      <c r="G9" s="2" t="s">
        <v>1180</v>
      </c>
      <c r="H9" s="2" t="s">
        <v>1181</v>
      </c>
      <c r="I9" s="2" t="s">
        <v>27</v>
      </c>
      <c r="J9" s="2" t="s">
        <v>1182</v>
      </c>
      <c r="K9" s="2" t="s">
        <v>1183</v>
      </c>
    </row>
    <row r="10" ht="22.5" customHeight="1">
      <c r="A10" s="3" t="s">
        <v>504</v>
      </c>
      <c r="B10" s="2" t="s">
        <v>505</v>
      </c>
      <c r="C10" s="30">
        <v>9.0</v>
      </c>
      <c r="D10" s="2" t="s">
        <v>1151</v>
      </c>
      <c r="E10" s="2" t="s">
        <v>221</v>
      </c>
      <c r="F10" s="2" t="s">
        <v>1184</v>
      </c>
      <c r="G10" s="2" t="s">
        <v>1185</v>
      </c>
      <c r="H10" s="2" t="s">
        <v>1186</v>
      </c>
      <c r="I10" s="2" t="s">
        <v>35</v>
      </c>
      <c r="J10" s="2" t="s">
        <v>1187</v>
      </c>
      <c r="K10" s="2" t="s">
        <v>1188</v>
      </c>
    </row>
    <row r="11" ht="22.5" customHeight="1">
      <c r="A11" s="3" t="s">
        <v>504</v>
      </c>
      <c r="B11" s="2" t="s">
        <v>505</v>
      </c>
      <c r="C11" s="30">
        <v>10.0</v>
      </c>
      <c r="D11" s="2" t="s">
        <v>1189</v>
      </c>
      <c r="E11" s="2" t="s">
        <v>221</v>
      </c>
      <c r="F11" s="2" t="s">
        <v>1190</v>
      </c>
      <c r="G11" s="2" t="s">
        <v>1191</v>
      </c>
      <c r="H11" s="2" t="s">
        <v>1159</v>
      </c>
      <c r="I11" s="2" t="s">
        <v>1160</v>
      </c>
      <c r="J11" s="2" t="s">
        <v>1192</v>
      </c>
      <c r="K11" s="2" t="s">
        <v>1193</v>
      </c>
    </row>
    <row r="12" ht="22.5" customHeight="1">
      <c r="A12" s="3" t="s">
        <v>513</v>
      </c>
      <c r="B12" s="2" t="s">
        <v>514</v>
      </c>
      <c r="C12" s="30">
        <v>1.0</v>
      </c>
      <c r="D12" s="2" t="s">
        <v>1138</v>
      </c>
      <c r="E12" s="2" t="s">
        <v>88</v>
      </c>
      <c r="F12" s="2" t="s">
        <v>1194</v>
      </c>
      <c r="G12" s="2" t="s">
        <v>1195</v>
      </c>
      <c r="H12" s="2" t="s">
        <v>103</v>
      </c>
      <c r="I12" s="2" t="s">
        <v>1196</v>
      </c>
      <c r="J12" s="2" t="s">
        <v>1197</v>
      </c>
      <c r="K12" s="2" t="s">
        <v>1198</v>
      </c>
    </row>
    <row r="13" ht="22.5" customHeight="1">
      <c r="A13" s="3" t="s">
        <v>513</v>
      </c>
      <c r="B13" s="2" t="s">
        <v>514</v>
      </c>
      <c r="C13" s="30">
        <v>2.0</v>
      </c>
      <c r="D13" s="2" t="s">
        <v>1145</v>
      </c>
      <c r="E13" s="2" t="s">
        <v>88</v>
      </c>
      <c r="F13" s="2" t="s">
        <v>1199</v>
      </c>
      <c r="G13" s="2" t="s">
        <v>1200</v>
      </c>
      <c r="H13" s="2" t="s">
        <v>90</v>
      </c>
      <c r="I13" s="2" t="s">
        <v>83</v>
      </c>
      <c r="J13" s="2" t="s">
        <v>1201</v>
      </c>
      <c r="K13" s="2" t="s">
        <v>1202</v>
      </c>
    </row>
    <row r="14" ht="22.5" customHeight="1">
      <c r="A14" s="3" t="s">
        <v>513</v>
      </c>
      <c r="B14" s="2" t="s">
        <v>514</v>
      </c>
      <c r="C14" s="30">
        <v>3.0</v>
      </c>
      <c r="D14" s="2" t="s">
        <v>1145</v>
      </c>
      <c r="E14" s="2" t="s">
        <v>81</v>
      </c>
      <c r="F14" s="2" t="s">
        <v>1203</v>
      </c>
      <c r="G14" s="2" t="s">
        <v>1204</v>
      </c>
      <c r="H14" s="2" t="s">
        <v>79</v>
      </c>
      <c r="I14" s="2" t="s">
        <v>83</v>
      </c>
      <c r="J14" s="2" t="s">
        <v>1205</v>
      </c>
      <c r="K14" s="2" t="s">
        <v>1206</v>
      </c>
    </row>
    <row r="15" ht="22.5" customHeight="1">
      <c r="A15" s="3" t="s">
        <v>513</v>
      </c>
      <c r="B15" s="2" t="s">
        <v>514</v>
      </c>
      <c r="C15" s="30">
        <v>4.0</v>
      </c>
      <c r="D15" s="2" t="s">
        <v>1151</v>
      </c>
      <c r="E15" s="2" t="s">
        <v>221</v>
      </c>
      <c r="F15" s="2" t="s">
        <v>1207</v>
      </c>
      <c r="G15" s="2" t="s">
        <v>1208</v>
      </c>
      <c r="H15" s="2" t="s">
        <v>1209</v>
      </c>
      <c r="I15" s="2" t="s">
        <v>1210</v>
      </c>
      <c r="J15" s="2" t="s">
        <v>1211</v>
      </c>
      <c r="K15" s="2" t="s">
        <v>1212</v>
      </c>
    </row>
    <row r="16" ht="22.5" customHeight="1">
      <c r="A16" s="3" t="s">
        <v>513</v>
      </c>
      <c r="B16" s="2" t="s">
        <v>514</v>
      </c>
      <c r="C16" s="30">
        <v>5.0</v>
      </c>
      <c r="D16" s="2" t="s">
        <v>1213</v>
      </c>
      <c r="E16" s="2" t="s">
        <v>88</v>
      </c>
      <c r="F16" s="2" t="s">
        <v>1214</v>
      </c>
      <c r="G16" s="2" t="s">
        <v>1215</v>
      </c>
      <c r="H16" s="2" t="s">
        <v>95</v>
      </c>
      <c r="I16" s="2" t="s">
        <v>97</v>
      </c>
      <c r="J16" s="2" t="s">
        <v>1216</v>
      </c>
      <c r="K16" s="2" t="s">
        <v>1217</v>
      </c>
    </row>
    <row r="17" ht="22.5" customHeight="1">
      <c r="A17" s="3" t="s">
        <v>513</v>
      </c>
      <c r="B17" s="2" t="s">
        <v>514</v>
      </c>
      <c r="C17" s="30">
        <v>6.0</v>
      </c>
      <c r="D17" s="2" t="s">
        <v>1218</v>
      </c>
      <c r="E17" s="2" t="s">
        <v>88</v>
      </c>
      <c r="F17" s="2" t="s">
        <v>1219</v>
      </c>
      <c r="G17" s="2" t="s">
        <v>1220</v>
      </c>
      <c r="H17" s="2" t="s">
        <v>98</v>
      </c>
      <c r="I17" s="2" t="s">
        <v>576</v>
      </c>
      <c r="J17" s="2" t="s">
        <v>1221</v>
      </c>
      <c r="K17" s="2" t="s">
        <v>1222</v>
      </c>
    </row>
    <row r="18" ht="22.5" customHeight="1">
      <c r="A18" s="3" t="s">
        <v>513</v>
      </c>
      <c r="B18" s="2" t="s">
        <v>514</v>
      </c>
      <c r="C18" s="30">
        <v>7.0</v>
      </c>
      <c r="D18" s="2" t="s">
        <v>1218</v>
      </c>
      <c r="E18" s="2" t="s">
        <v>88</v>
      </c>
      <c r="F18" s="2" t="s">
        <v>1223</v>
      </c>
      <c r="G18" s="2" t="s">
        <v>1224</v>
      </c>
      <c r="H18" s="2" t="s">
        <v>98</v>
      </c>
      <c r="I18" s="2" t="s">
        <v>576</v>
      </c>
      <c r="J18" s="2" t="s">
        <v>1225</v>
      </c>
      <c r="K18" s="2" t="s">
        <v>1226</v>
      </c>
    </row>
    <row r="19" ht="22.5" customHeight="1">
      <c r="A19" s="3" t="s">
        <v>513</v>
      </c>
      <c r="B19" s="2" t="s">
        <v>514</v>
      </c>
      <c r="C19" s="30">
        <v>8.0</v>
      </c>
      <c r="D19" s="2" t="s">
        <v>1218</v>
      </c>
      <c r="E19" s="2" t="s">
        <v>88</v>
      </c>
      <c r="F19" s="2" t="s">
        <v>1227</v>
      </c>
      <c r="G19" s="2" t="s">
        <v>1228</v>
      </c>
      <c r="H19" s="2" t="s">
        <v>101</v>
      </c>
      <c r="I19" s="2" t="s">
        <v>1196</v>
      </c>
      <c r="J19" s="2" t="s">
        <v>1229</v>
      </c>
      <c r="K19" s="2" t="s">
        <v>1230</v>
      </c>
    </row>
    <row r="20" ht="22.5" customHeight="1">
      <c r="A20" s="3" t="s">
        <v>513</v>
      </c>
      <c r="B20" s="2" t="s">
        <v>514</v>
      </c>
      <c r="C20" s="30">
        <v>9.0</v>
      </c>
      <c r="D20" s="2" t="s">
        <v>1189</v>
      </c>
      <c r="E20" s="2" t="s">
        <v>221</v>
      </c>
      <c r="F20" s="2" t="s">
        <v>1231</v>
      </c>
      <c r="G20" s="2" t="s">
        <v>1232</v>
      </c>
      <c r="H20" s="2" t="s">
        <v>103</v>
      </c>
      <c r="I20" s="2" t="s">
        <v>97</v>
      </c>
      <c r="J20" s="2" t="s">
        <v>1233</v>
      </c>
      <c r="K20" s="2" t="s">
        <v>1234</v>
      </c>
    </row>
    <row r="21" ht="22.5" customHeight="1">
      <c r="A21" s="31" t="s">
        <v>520</v>
      </c>
      <c r="B21" s="32" t="s">
        <v>521</v>
      </c>
      <c r="C21" s="33">
        <v>1.0</v>
      </c>
      <c r="D21" s="32" t="s">
        <v>1138</v>
      </c>
      <c r="E21" s="32" t="s">
        <v>1235</v>
      </c>
      <c r="F21" s="32" t="s">
        <v>1236</v>
      </c>
      <c r="G21" s="32" t="s">
        <v>1237</v>
      </c>
      <c r="H21" s="32" t="s">
        <v>1238</v>
      </c>
      <c r="I21" s="32" t="s">
        <v>1239</v>
      </c>
      <c r="J21" s="32" t="s">
        <v>1240</v>
      </c>
      <c r="K21" s="32" t="s">
        <v>1241</v>
      </c>
    </row>
    <row r="22" ht="22.5" customHeight="1">
      <c r="A22" s="31" t="s">
        <v>520</v>
      </c>
      <c r="B22" s="32" t="s">
        <v>521</v>
      </c>
      <c r="C22" s="33">
        <v>2.0</v>
      </c>
      <c r="D22" s="32" t="s">
        <v>1145</v>
      </c>
      <c r="E22" s="32" t="s">
        <v>364</v>
      </c>
      <c r="F22" s="32" t="s">
        <v>1242</v>
      </c>
      <c r="G22" s="32" t="s">
        <v>1243</v>
      </c>
      <c r="H22" s="32" t="s">
        <v>436</v>
      </c>
      <c r="I22" s="32" t="s">
        <v>440</v>
      </c>
      <c r="J22" s="32" t="s">
        <v>1244</v>
      </c>
      <c r="K22" s="32" t="s">
        <v>1245</v>
      </c>
    </row>
    <row r="23" ht="22.5" customHeight="1">
      <c r="A23" s="31" t="s">
        <v>520</v>
      </c>
      <c r="B23" s="32" t="s">
        <v>521</v>
      </c>
      <c r="C23" s="33">
        <v>3.0</v>
      </c>
      <c r="D23" s="32" t="s">
        <v>1145</v>
      </c>
      <c r="E23" s="32" t="s">
        <v>364</v>
      </c>
      <c r="F23" s="32" t="s">
        <v>1246</v>
      </c>
      <c r="G23" s="32" t="s">
        <v>1247</v>
      </c>
      <c r="H23" s="32" t="s">
        <v>442</v>
      </c>
      <c r="I23" s="32" t="s">
        <v>825</v>
      </c>
      <c r="J23" s="32" t="s">
        <v>1248</v>
      </c>
      <c r="K23" s="32" t="s">
        <v>1249</v>
      </c>
    </row>
    <row r="24" ht="22.5" customHeight="1">
      <c r="A24" s="31" t="s">
        <v>520</v>
      </c>
      <c r="B24" s="32" t="s">
        <v>521</v>
      </c>
      <c r="C24" s="33">
        <v>4.0</v>
      </c>
      <c r="D24" s="32" t="s">
        <v>1145</v>
      </c>
      <c r="E24" s="32" t="s">
        <v>114</v>
      </c>
      <c r="F24" s="32" t="s">
        <v>1250</v>
      </c>
      <c r="G24" s="32" t="s">
        <v>1251</v>
      </c>
      <c r="H24" s="32" t="s">
        <v>1252</v>
      </c>
      <c r="I24" s="32" t="s">
        <v>110</v>
      </c>
      <c r="J24" s="32" t="s">
        <v>1253</v>
      </c>
      <c r="K24" s="32" t="s">
        <v>1254</v>
      </c>
    </row>
    <row r="25" ht="22.5" customHeight="1">
      <c r="A25" s="34" t="s">
        <v>520</v>
      </c>
      <c r="B25" s="32" t="s">
        <v>521</v>
      </c>
      <c r="C25" s="33">
        <v>5.0</v>
      </c>
      <c r="D25" s="32" t="s">
        <v>1145</v>
      </c>
      <c r="E25" s="32" t="s">
        <v>364</v>
      </c>
      <c r="F25" s="32" t="s">
        <v>1255</v>
      </c>
      <c r="G25" s="32" t="s">
        <v>1256</v>
      </c>
      <c r="H25" s="32" t="s">
        <v>1257</v>
      </c>
      <c r="I25" s="32" t="s">
        <v>110</v>
      </c>
      <c r="J25" s="32" t="s">
        <v>1258</v>
      </c>
      <c r="K25" s="32" t="s">
        <v>1259</v>
      </c>
    </row>
    <row r="26" ht="22.5" customHeight="1">
      <c r="A26" s="34" t="s">
        <v>520</v>
      </c>
      <c r="B26" s="32" t="s">
        <v>521</v>
      </c>
      <c r="C26" s="33">
        <v>6.0</v>
      </c>
      <c r="D26" s="32" t="s">
        <v>1260</v>
      </c>
      <c r="E26" s="32" t="s">
        <v>1261</v>
      </c>
      <c r="F26" s="32" t="s">
        <v>1262</v>
      </c>
      <c r="G26" s="32" t="s">
        <v>1263</v>
      </c>
      <c r="H26" s="32" t="s">
        <v>1264</v>
      </c>
      <c r="I26" s="32" t="s">
        <v>1265</v>
      </c>
      <c r="J26" s="32" t="s">
        <v>1266</v>
      </c>
      <c r="K26" s="32" t="s">
        <v>1097</v>
      </c>
    </row>
    <row r="27" ht="22.5" customHeight="1">
      <c r="A27" s="34" t="s">
        <v>520</v>
      </c>
      <c r="B27" s="32" t="s">
        <v>521</v>
      </c>
      <c r="C27" s="33">
        <v>7.0</v>
      </c>
      <c r="D27" s="32" t="s">
        <v>1151</v>
      </c>
      <c r="E27" s="32" t="s">
        <v>221</v>
      </c>
      <c r="F27" s="32" t="s">
        <v>1267</v>
      </c>
      <c r="G27" s="32" t="s">
        <v>1268</v>
      </c>
      <c r="H27" s="32" t="s">
        <v>1269</v>
      </c>
      <c r="I27" s="32" t="s">
        <v>110</v>
      </c>
      <c r="J27" s="32" t="s">
        <v>1270</v>
      </c>
      <c r="K27" s="32" t="s">
        <v>1271</v>
      </c>
    </row>
    <row r="28" ht="22.5" customHeight="1">
      <c r="A28" s="34" t="s">
        <v>520</v>
      </c>
      <c r="B28" s="32" t="s">
        <v>521</v>
      </c>
      <c r="C28" s="33">
        <v>8.0</v>
      </c>
      <c r="D28" s="32" t="s">
        <v>1145</v>
      </c>
      <c r="E28" s="32" t="s">
        <v>364</v>
      </c>
      <c r="F28" s="32" t="s">
        <v>1272</v>
      </c>
      <c r="G28" s="32" t="s">
        <v>1273</v>
      </c>
      <c r="H28" s="32" t="s">
        <v>459</v>
      </c>
      <c r="I28" s="32" t="s">
        <v>463</v>
      </c>
      <c r="J28" s="32" t="s">
        <v>1274</v>
      </c>
      <c r="K28" s="32" t="s">
        <v>1275</v>
      </c>
    </row>
    <row r="29" ht="22.5" customHeight="1">
      <c r="A29" s="34" t="s">
        <v>520</v>
      </c>
      <c r="B29" s="32" t="s">
        <v>521</v>
      </c>
      <c r="C29" s="33">
        <v>9.0</v>
      </c>
      <c r="D29" s="32" t="s">
        <v>1145</v>
      </c>
      <c r="E29" s="32" t="s">
        <v>364</v>
      </c>
      <c r="F29" s="32" t="s">
        <v>1276</v>
      </c>
      <c r="G29" s="32" t="s">
        <v>1277</v>
      </c>
      <c r="H29" s="32" t="s">
        <v>1278</v>
      </c>
      <c r="I29" s="32" t="s">
        <v>1279</v>
      </c>
      <c r="J29" s="32" t="s">
        <v>1280</v>
      </c>
      <c r="K29" s="32" t="s">
        <v>1281</v>
      </c>
    </row>
    <row r="30" ht="22.5" customHeight="1">
      <c r="A30" s="34" t="s">
        <v>520</v>
      </c>
      <c r="B30" s="32" t="s">
        <v>521</v>
      </c>
      <c r="C30" s="33">
        <v>10.0</v>
      </c>
      <c r="D30" s="32" t="s">
        <v>1145</v>
      </c>
      <c r="E30" s="32" t="s">
        <v>185</v>
      </c>
      <c r="F30" s="32" t="s">
        <v>1282</v>
      </c>
      <c r="G30" s="32" t="s">
        <v>1283</v>
      </c>
      <c r="H30" s="32" t="s">
        <v>1284</v>
      </c>
      <c r="I30" s="32" t="s">
        <v>469</v>
      </c>
      <c r="J30" s="32" t="s">
        <v>1285</v>
      </c>
      <c r="K30" s="32" t="s">
        <v>1286</v>
      </c>
    </row>
    <row r="31" ht="22.5" customHeight="1">
      <c r="A31" s="34" t="s">
        <v>520</v>
      </c>
      <c r="B31" s="32" t="s">
        <v>521</v>
      </c>
      <c r="C31" s="33">
        <v>11.0</v>
      </c>
      <c r="D31" s="32" t="s">
        <v>1145</v>
      </c>
      <c r="E31" s="32" t="s">
        <v>1235</v>
      </c>
      <c r="F31" s="32" t="s">
        <v>1287</v>
      </c>
      <c r="G31" s="32" t="s">
        <v>1288</v>
      </c>
      <c r="H31" s="32" t="s">
        <v>1289</v>
      </c>
      <c r="I31" s="32" t="s">
        <v>1290</v>
      </c>
      <c r="J31" s="32" t="s">
        <v>1291</v>
      </c>
      <c r="K31" s="32" t="s">
        <v>1292</v>
      </c>
    </row>
    <row r="32" ht="22.5" customHeight="1">
      <c r="A32" s="34" t="s">
        <v>520</v>
      </c>
      <c r="B32" s="32" t="s">
        <v>521</v>
      </c>
      <c r="C32" s="33">
        <v>12.0</v>
      </c>
      <c r="D32" s="32" t="s">
        <v>1151</v>
      </c>
      <c r="E32" s="32" t="s">
        <v>221</v>
      </c>
      <c r="F32" s="32" t="s">
        <v>1293</v>
      </c>
      <c r="G32" s="32" t="s">
        <v>1294</v>
      </c>
      <c r="H32" s="32" t="s">
        <v>1295</v>
      </c>
      <c r="I32" s="32" t="s">
        <v>1296</v>
      </c>
      <c r="J32" s="32" t="s">
        <v>1297</v>
      </c>
      <c r="K32" s="32" t="s">
        <v>1298</v>
      </c>
    </row>
    <row r="33" ht="22.5" customHeight="1">
      <c r="A33" s="34" t="s">
        <v>520</v>
      </c>
      <c r="B33" s="32" t="s">
        <v>521</v>
      </c>
      <c r="C33" s="33">
        <v>13.0</v>
      </c>
      <c r="D33" s="32" t="s">
        <v>1299</v>
      </c>
      <c r="E33" s="32" t="s">
        <v>114</v>
      </c>
      <c r="F33" s="32" t="s">
        <v>1300</v>
      </c>
      <c r="G33" s="32" t="s">
        <v>1301</v>
      </c>
      <c r="H33" s="32" t="s">
        <v>850</v>
      </c>
      <c r="I33" s="32" t="s">
        <v>1302</v>
      </c>
      <c r="J33" s="32" t="s">
        <v>1303</v>
      </c>
      <c r="K33" s="32" t="s">
        <v>1304</v>
      </c>
    </row>
    <row r="34" ht="22.5" customHeight="1">
      <c r="A34" s="34" t="s">
        <v>520</v>
      </c>
      <c r="B34" s="32" t="s">
        <v>521</v>
      </c>
      <c r="C34" s="33">
        <v>14.0</v>
      </c>
      <c r="D34" s="32" t="s">
        <v>1189</v>
      </c>
      <c r="E34" s="32" t="s">
        <v>221</v>
      </c>
      <c r="F34" s="32" t="s">
        <v>1305</v>
      </c>
      <c r="G34" s="32" t="s">
        <v>1306</v>
      </c>
      <c r="H34" s="32" t="s">
        <v>1307</v>
      </c>
      <c r="I34" s="32" t="s">
        <v>1308</v>
      </c>
      <c r="J34" s="32" t="s">
        <v>1309</v>
      </c>
      <c r="K34" s="32" t="s">
        <v>1310</v>
      </c>
    </row>
    <row r="35" ht="22.5" customHeight="1">
      <c r="A35" s="3" t="s">
        <v>520</v>
      </c>
      <c r="B35" s="2" t="s">
        <v>1311</v>
      </c>
      <c r="C35" s="30">
        <v>5.0</v>
      </c>
      <c r="D35" s="2" t="s">
        <v>1145</v>
      </c>
      <c r="E35" s="2" t="s">
        <v>364</v>
      </c>
      <c r="F35" s="2" t="s">
        <v>1276</v>
      </c>
      <c r="G35" s="2" t="s">
        <v>1277</v>
      </c>
      <c r="H35" s="2" t="s">
        <v>1278</v>
      </c>
      <c r="I35" s="2" t="s">
        <v>1279</v>
      </c>
      <c r="J35" s="2" t="s">
        <v>1280</v>
      </c>
      <c r="K35" s="2" t="s">
        <v>1281</v>
      </c>
    </row>
    <row r="36" ht="22.5" customHeight="1">
      <c r="A36" s="3" t="s">
        <v>520</v>
      </c>
      <c r="B36" s="2" t="s">
        <v>1311</v>
      </c>
      <c r="C36" s="30">
        <v>6.0</v>
      </c>
      <c r="D36" s="2" t="s">
        <v>1145</v>
      </c>
      <c r="E36" s="2" t="s">
        <v>1235</v>
      </c>
      <c r="F36" s="2" t="s">
        <v>1287</v>
      </c>
      <c r="G36" s="2" t="s">
        <v>1312</v>
      </c>
      <c r="H36" s="2" t="s">
        <v>1313</v>
      </c>
      <c r="I36" s="2" t="s">
        <v>1314</v>
      </c>
      <c r="J36" s="2" t="s">
        <v>1315</v>
      </c>
      <c r="K36" s="2" t="s">
        <v>1316</v>
      </c>
    </row>
    <row r="37" ht="22.5" customHeight="1">
      <c r="A37" s="3" t="s">
        <v>520</v>
      </c>
      <c r="B37" s="2" t="s">
        <v>1311</v>
      </c>
      <c r="C37" s="30">
        <v>7.0</v>
      </c>
      <c r="D37" s="2" t="s">
        <v>1145</v>
      </c>
      <c r="E37" s="2" t="s">
        <v>114</v>
      </c>
      <c r="F37" s="2" t="s">
        <v>1317</v>
      </c>
      <c r="G37" s="2" t="s">
        <v>1318</v>
      </c>
      <c r="H37" s="2" t="s">
        <v>1319</v>
      </c>
      <c r="I37" s="2" t="s">
        <v>1320</v>
      </c>
      <c r="J37" s="2" t="s">
        <v>1321</v>
      </c>
      <c r="K37" s="2" t="s">
        <v>1322</v>
      </c>
    </row>
    <row r="38" ht="22.5" customHeight="1">
      <c r="A38" s="3" t="s">
        <v>520</v>
      </c>
      <c r="B38" s="2" t="s">
        <v>1311</v>
      </c>
      <c r="C38" s="30">
        <v>8.0</v>
      </c>
      <c r="D38" s="2" t="s">
        <v>1145</v>
      </c>
      <c r="E38" s="2" t="s">
        <v>364</v>
      </c>
      <c r="F38" s="2" t="s">
        <v>1323</v>
      </c>
      <c r="G38" s="2" t="s">
        <v>1324</v>
      </c>
      <c r="H38" s="2" t="s">
        <v>177</v>
      </c>
      <c r="I38" s="2" t="s">
        <v>180</v>
      </c>
      <c r="J38" s="2" t="s">
        <v>1325</v>
      </c>
      <c r="K38" s="2" t="s">
        <v>1326</v>
      </c>
    </row>
    <row r="39" ht="22.5" customHeight="1">
      <c r="A39" s="3" t="s">
        <v>520</v>
      </c>
      <c r="B39" s="2" t="s">
        <v>1311</v>
      </c>
      <c r="C39" s="30">
        <v>9.0</v>
      </c>
      <c r="D39" s="2" t="s">
        <v>1151</v>
      </c>
      <c r="E39" s="2" t="s">
        <v>221</v>
      </c>
      <c r="F39" s="2" t="s">
        <v>1327</v>
      </c>
      <c r="G39" s="2" t="s">
        <v>1328</v>
      </c>
      <c r="H39" s="2" t="s">
        <v>1329</v>
      </c>
      <c r="I39" s="2" t="s">
        <v>1330</v>
      </c>
      <c r="J39" s="2" t="s">
        <v>1331</v>
      </c>
      <c r="K39" s="2" t="s">
        <v>1332</v>
      </c>
    </row>
    <row r="40" ht="22.5" customHeight="1">
      <c r="A40" s="3" t="s">
        <v>520</v>
      </c>
      <c r="B40" s="2" t="s">
        <v>1311</v>
      </c>
      <c r="C40" s="30">
        <v>10.0</v>
      </c>
      <c r="D40" s="2" t="s">
        <v>1333</v>
      </c>
      <c r="E40" s="2" t="s">
        <v>815</v>
      </c>
      <c r="F40" s="2" t="s">
        <v>1334</v>
      </c>
      <c r="G40" s="2" t="s">
        <v>1335</v>
      </c>
      <c r="H40" s="2" t="s">
        <v>1336</v>
      </c>
      <c r="I40" s="2" t="s">
        <v>1337</v>
      </c>
      <c r="J40" s="2" t="s">
        <v>1338</v>
      </c>
      <c r="K40" s="2" t="s">
        <v>1339</v>
      </c>
    </row>
    <row r="41" ht="22.5" customHeight="1">
      <c r="A41" s="3" t="s">
        <v>520</v>
      </c>
      <c r="B41" s="2" t="s">
        <v>1311</v>
      </c>
      <c r="C41" s="30">
        <v>11.0</v>
      </c>
      <c r="D41" s="2" t="s">
        <v>1189</v>
      </c>
      <c r="E41" s="2" t="s">
        <v>221</v>
      </c>
      <c r="F41" s="2" t="s">
        <v>1340</v>
      </c>
      <c r="G41" s="2" t="s">
        <v>1341</v>
      </c>
      <c r="H41" s="2" t="s">
        <v>1342</v>
      </c>
      <c r="I41" s="2" t="s">
        <v>187</v>
      </c>
      <c r="J41" s="2" t="s">
        <v>1309</v>
      </c>
      <c r="K41" s="2" t="s">
        <v>1310</v>
      </c>
    </row>
    <row r="42" ht="22.5" customHeight="1">
      <c r="A42" s="31" t="s">
        <v>526</v>
      </c>
      <c r="B42" s="32" t="s">
        <v>527</v>
      </c>
      <c r="C42" s="33">
        <v>1.0</v>
      </c>
      <c r="D42" s="32" t="s">
        <v>1138</v>
      </c>
      <c r="E42" s="32" t="s">
        <v>364</v>
      </c>
      <c r="F42" s="32" t="s">
        <v>1343</v>
      </c>
      <c r="G42" s="32" t="s">
        <v>1344</v>
      </c>
      <c r="H42" s="32" t="s">
        <v>700</v>
      </c>
      <c r="I42" s="32" t="s">
        <v>199</v>
      </c>
      <c r="J42" s="32" t="s">
        <v>1345</v>
      </c>
      <c r="K42" s="32" t="s">
        <v>1346</v>
      </c>
    </row>
    <row r="43" ht="22.5" customHeight="1">
      <c r="A43" s="31" t="s">
        <v>526</v>
      </c>
      <c r="B43" s="32" t="s">
        <v>527</v>
      </c>
      <c r="C43" s="33">
        <v>2.0</v>
      </c>
      <c r="D43" s="32" t="s">
        <v>1145</v>
      </c>
      <c r="E43" s="32" t="s">
        <v>364</v>
      </c>
      <c r="F43" s="32" t="s">
        <v>1347</v>
      </c>
      <c r="G43" s="32" t="s">
        <v>1348</v>
      </c>
      <c r="H43" s="32" t="s">
        <v>200</v>
      </c>
      <c r="I43" s="32" t="s">
        <v>1349</v>
      </c>
      <c r="J43" s="32" t="s">
        <v>1350</v>
      </c>
      <c r="K43" s="32" t="s">
        <v>1351</v>
      </c>
    </row>
    <row r="44" ht="22.5" customHeight="1">
      <c r="A44" s="31" t="s">
        <v>526</v>
      </c>
      <c r="B44" s="32" t="s">
        <v>527</v>
      </c>
      <c r="C44" s="33">
        <v>3.0</v>
      </c>
      <c r="D44" s="32" t="s">
        <v>1151</v>
      </c>
      <c r="E44" s="32" t="s">
        <v>221</v>
      </c>
      <c r="F44" s="32" t="s">
        <v>1352</v>
      </c>
      <c r="G44" s="32" t="s">
        <v>1353</v>
      </c>
      <c r="H44" s="32" t="s">
        <v>304</v>
      </c>
      <c r="I44" s="32" t="s">
        <v>787</v>
      </c>
      <c r="J44" s="32" t="s">
        <v>1354</v>
      </c>
      <c r="K44" s="32" t="s">
        <v>1355</v>
      </c>
    </row>
    <row r="45" ht="22.5" customHeight="1">
      <c r="A45" s="31" t="s">
        <v>526</v>
      </c>
      <c r="B45" s="32" t="s">
        <v>527</v>
      </c>
      <c r="C45" s="33">
        <v>4.0</v>
      </c>
      <c r="D45" s="32" t="s">
        <v>1356</v>
      </c>
      <c r="E45" s="32" t="s">
        <v>114</v>
      </c>
      <c r="F45" s="32" t="s">
        <v>1357</v>
      </c>
      <c r="G45" s="32" t="s">
        <v>1358</v>
      </c>
      <c r="H45" s="32" t="s">
        <v>203</v>
      </c>
      <c r="I45" s="32" t="s">
        <v>202</v>
      </c>
      <c r="J45" s="32" t="s">
        <v>1359</v>
      </c>
      <c r="K45" s="32" t="s">
        <v>1360</v>
      </c>
    </row>
    <row r="46" ht="22.5" customHeight="1">
      <c r="A46" s="31" t="s">
        <v>526</v>
      </c>
      <c r="B46" s="32" t="s">
        <v>527</v>
      </c>
      <c r="C46" s="33">
        <v>5.0</v>
      </c>
      <c r="D46" s="32" t="s">
        <v>1356</v>
      </c>
      <c r="E46" s="32" t="s">
        <v>364</v>
      </c>
      <c r="F46" s="32" t="s">
        <v>1361</v>
      </c>
      <c r="G46" s="32" t="s">
        <v>1362</v>
      </c>
      <c r="H46" s="32" t="s">
        <v>205</v>
      </c>
      <c r="I46" s="32" t="s">
        <v>202</v>
      </c>
      <c r="J46" s="32" t="s">
        <v>1363</v>
      </c>
      <c r="K46" s="32" t="s">
        <v>1364</v>
      </c>
    </row>
    <row r="47" ht="22.5" customHeight="1">
      <c r="A47" s="31" t="s">
        <v>526</v>
      </c>
      <c r="B47" s="32" t="s">
        <v>527</v>
      </c>
      <c r="C47" s="33">
        <v>6.0</v>
      </c>
      <c r="D47" s="32" t="s">
        <v>1145</v>
      </c>
      <c r="E47" s="32" t="s">
        <v>114</v>
      </c>
      <c r="F47" s="32" t="s">
        <v>1365</v>
      </c>
      <c r="G47" s="32" t="s">
        <v>1366</v>
      </c>
      <c r="H47" s="32" t="s">
        <v>208</v>
      </c>
      <c r="I47" s="32" t="s">
        <v>211</v>
      </c>
      <c r="J47" s="32" t="s">
        <v>1367</v>
      </c>
      <c r="K47" s="32" t="s">
        <v>1368</v>
      </c>
    </row>
    <row r="48" ht="22.5" customHeight="1">
      <c r="A48" s="31" t="s">
        <v>526</v>
      </c>
      <c r="B48" s="32" t="s">
        <v>527</v>
      </c>
      <c r="C48" s="33">
        <v>7.0</v>
      </c>
      <c r="D48" s="32" t="s">
        <v>1145</v>
      </c>
      <c r="E48" s="32" t="s">
        <v>364</v>
      </c>
      <c r="F48" s="32" t="s">
        <v>1369</v>
      </c>
      <c r="G48" s="32" t="s">
        <v>1370</v>
      </c>
      <c r="H48" s="32" t="s">
        <v>213</v>
      </c>
      <c r="I48" s="32" t="s">
        <v>216</v>
      </c>
      <c r="J48" s="32" t="s">
        <v>1371</v>
      </c>
      <c r="K48" s="32" t="s">
        <v>1372</v>
      </c>
    </row>
    <row r="49" ht="22.5" customHeight="1">
      <c r="A49" s="31" t="s">
        <v>526</v>
      </c>
      <c r="B49" s="32" t="s">
        <v>527</v>
      </c>
      <c r="C49" s="33">
        <v>8.0</v>
      </c>
      <c r="D49" s="32" t="s">
        <v>1151</v>
      </c>
      <c r="E49" s="32" t="s">
        <v>221</v>
      </c>
      <c r="F49" s="32" t="s">
        <v>1373</v>
      </c>
      <c r="G49" s="32" t="s">
        <v>1374</v>
      </c>
      <c r="H49" s="32" t="s">
        <v>1375</v>
      </c>
      <c r="I49" s="32" t="s">
        <v>1376</v>
      </c>
      <c r="J49" s="32" t="s">
        <v>1377</v>
      </c>
      <c r="K49" s="32" t="s">
        <v>1378</v>
      </c>
    </row>
    <row r="50" ht="22.5" customHeight="1">
      <c r="A50" s="31" t="s">
        <v>526</v>
      </c>
      <c r="B50" s="32" t="s">
        <v>527</v>
      </c>
      <c r="C50" s="33">
        <v>9.0</v>
      </c>
      <c r="D50" s="32" t="s">
        <v>1379</v>
      </c>
      <c r="E50" s="32" t="s">
        <v>364</v>
      </c>
      <c r="F50" s="32" t="s">
        <v>1380</v>
      </c>
      <c r="G50" s="32" t="s">
        <v>1381</v>
      </c>
      <c r="H50" s="32" t="s">
        <v>225</v>
      </c>
      <c r="I50" s="32" t="s">
        <v>228</v>
      </c>
      <c r="J50" s="32" t="s">
        <v>1382</v>
      </c>
      <c r="K50" s="32" t="s">
        <v>1383</v>
      </c>
    </row>
    <row r="51" ht="22.5" customHeight="1">
      <c r="A51" s="34" t="s">
        <v>526</v>
      </c>
      <c r="B51" s="32" t="s">
        <v>527</v>
      </c>
      <c r="C51" s="33">
        <v>10.0</v>
      </c>
      <c r="D51" s="32" t="s">
        <v>1145</v>
      </c>
      <c r="E51" s="32" t="s">
        <v>364</v>
      </c>
      <c r="F51" s="32" t="s">
        <v>1384</v>
      </c>
      <c r="G51" s="32" t="s">
        <v>1385</v>
      </c>
      <c r="H51" s="32" t="s">
        <v>1386</v>
      </c>
      <c r="I51" s="32" t="s">
        <v>1387</v>
      </c>
      <c r="J51" s="32" t="s">
        <v>1388</v>
      </c>
      <c r="K51" s="32" t="s">
        <v>1389</v>
      </c>
    </row>
    <row r="52" ht="22.5" customHeight="1">
      <c r="A52" s="34" t="s">
        <v>526</v>
      </c>
      <c r="B52" s="32" t="s">
        <v>527</v>
      </c>
      <c r="C52" s="33">
        <v>11.0</v>
      </c>
      <c r="D52" s="32" t="s">
        <v>1145</v>
      </c>
      <c r="E52" s="32" t="s">
        <v>114</v>
      </c>
      <c r="F52" s="32" t="s">
        <v>1390</v>
      </c>
      <c r="G52" s="32" t="s">
        <v>1391</v>
      </c>
      <c r="H52" s="32" t="s">
        <v>728</v>
      </c>
      <c r="I52" s="32" t="s">
        <v>233</v>
      </c>
      <c r="J52" s="32" t="s">
        <v>1392</v>
      </c>
      <c r="K52" s="32" t="s">
        <v>1393</v>
      </c>
    </row>
    <row r="53" ht="22.5" customHeight="1">
      <c r="A53" s="34" t="s">
        <v>526</v>
      </c>
      <c r="B53" s="32" t="s">
        <v>527</v>
      </c>
      <c r="C53" s="33">
        <v>12.0</v>
      </c>
      <c r="D53" s="32" t="s">
        <v>1394</v>
      </c>
      <c r="E53" s="32" t="s">
        <v>114</v>
      </c>
      <c r="F53" s="32" t="s">
        <v>1395</v>
      </c>
      <c r="G53" s="32" t="s">
        <v>1396</v>
      </c>
      <c r="H53" s="32" t="s">
        <v>1397</v>
      </c>
      <c r="I53" s="32" t="s">
        <v>1398</v>
      </c>
      <c r="J53" s="32" t="s">
        <v>1399</v>
      </c>
      <c r="K53" s="32" t="s">
        <v>1400</v>
      </c>
    </row>
    <row r="54" ht="22.5" customHeight="1">
      <c r="A54" s="34" t="s">
        <v>526</v>
      </c>
      <c r="B54" s="32" t="s">
        <v>527</v>
      </c>
      <c r="C54" s="33">
        <v>13.0</v>
      </c>
      <c r="D54" s="32" t="s">
        <v>1189</v>
      </c>
      <c r="E54" s="32" t="s">
        <v>221</v>
      </c>
      <c r="F54" s="32" t="s">
        <v>1401</v>
      </c>
      <c r="G54" s="32" t="s">
        <v>1402</v>
      </c>
      <c r="H54" s="32" t="s">
        <v>241</v>
      </c>
      <c r="I54" s="32" t="s">
        <v>1403</v>
      </c>
      <c r="J54" s="32" t="s">
        <v>1404</v>
      </c>
      <c r="K54" s="32" t="s">
        <v>1405</v>
      </c>
    </row>
    <row r="55" ht="22.5" customHeight="1">
      <c r="A55" s="3" t="s">
        <v>532</v>
      </c>
      <c r="B55" s="2" t="s">
        <v>533</v>
      </c>
      <c r="C55" s="30">
        <v>1.0</v>
      </c>
      <c r="D55" s="2" t="s">
        <v>1138</v>
      </c>
      <c r="E55" s="2" t="s">
        <v>114</v>
      </c>
      <c r="F55" s="2" t="s">
        <v>1406</v>
      </c>
      <c r="G55" s="2" t="s">
        <v>1407</v>
      </c>
      <c r="H55" s="2" t="s">
        <v>1408</v>
      </c>
      <c r="I55" s="2" t="s">
        <v>1409</v>
      </c>
      <c r="J55" s="2" t="s">
        <v>1410</v>
      </c>
      <c r="K55" s="2" t="s">
        <v>1411</v>
      </c>
    </row>
    <row r="56" ht="22.5" customHeight="1">
      <c r="A56" s="3" t="s">
        <v>532</v>
      </c>
      <c r="B56" s="2" t="s">
        <v>533</v>
      </c>
      <c r="C56" s="30">
        <v>2.0</v>
      </c>
      <c r="D56" s="2" t="s">
        <v>1412</v>
      </c>
      <c r="E56" s="2" t="s">
        <v>1413</v>
      </c>
      <c r="F56" s="2" t="s">
        <v>1414</v>
      </c>
      <c r="G56" s="2" t="s">
        <v>1415</v>
      </c>
      <c r="H56" s="2" t="s">
        <v>292</v>
      </c>
      <c r="I56" s="2" t="s">
        <v>284</v>
      </c>
      <c r="J56" s="2" t="s">
        <v>1416</v>
      </c>
      <c r="K56" s="2" t="s">
        <v>1417</v>
      </c>
    </row>
    <row r="57" ht="22.5" customHeight="1">
      <c r="A57" s="3" t="s">
        <v>532</v>
      </c>
      <c r="B57" s="2" t="s">
        <v>533</v>
      </c>
      <c r="C57" s="30">
        <v>3.0</v>
      </c>
      <c r="D57" s="2" t="s">
        <v>1151</v>
      </c>
      <c r="E57" s="2" t="s">
        <v>221</v>
      </c>
      <c r="F57" s="2" t="s">
        <v>1418</v>
      </c>
      <c r="G57" s="2" t="s">
        <v>1419</v>
      </c>
      <c r="H57" s="2" t="s">
        <v>1420</v>
      </c>
      <c r="I57" s="2" t="s">
        <v>1421</v>
      </c>
      <c r="J57" s="2" t="s">
        <v>1422</v>
      </c>
      <c r="K57" s="2" t="s">
        <v>1423</v>
      </c>
    </row>
    <row r="58" ht="22.5" customHeight="1">
      <c r="A58" s="3" t="s">
        <v>532</v>
      </c>
      <c r="B58" s="2" t="s">
        <v>533</v>
      </c>
      <c r="C58" s="30">
        <v>4.0</v>
      </c>
      <c r="D58" s="2" t="s">
        <v>1151</v>
      </c>
      <c r="E58" s="2" t="s">
        <v>221</v>
      </c>
      <c r="F58" s="2" t="s">
        <v>1424</v>
      </c>
      <c r="G58" s="2" t="s">
        <v>1425</v>
      </c>
      <c r="H58" s="2" t="s">
        <v>1426</v>
      </c>
      <c r="I58" s="2" t="s">
        <v>1427</v>
      </c>
      <c r="J58" s="2" t="s">
        <v>1428</v>
      </c>
      <c r="K58" s="2" t="s">
        <v>1429</v>
      </c>
    </row>
    <row r="59" ht="22.5" customHeight="1">
      <c r="A59" s="3" t="s">
        <v>532</v>
      </c>
      <c r="B59" s="2" t="s">
        <v>533</v>
      </c>
      <c r="C59" s="30">
        <v>5.0</v>
      </c>
      <c r="D59" s="2" t="s">
        <v>1145</v>
      </c>
      <c r="E59" s="2" t="s">
        <v>256</v>
      </c>
      <c r="F59" s="2" t="s">
        <v>1430</v>
      </c>
      <c r="G59" s="2" t="s">
        <v>1431</v>
      </c>
      <c r="H59" s="2" t="s">
        <v>1432</v>
      </c>
      <c r="I59" s="2" t="s">
        <v>301</v>
      </c>
      <c r="J59" s="2" t="s">
        <v>1433</v>
      </c>
      <c r="K59" s="2" t="s">
        <v>1434</v>
      </c>
    </row>
    <row r="60" ht="22.5" customHeight="1">
      <c r="A60" s="3" t="s">
        <v>532</v>
      </c>
      <c r="B60" s="2" t="s">
        <v>533</v>
      </c>
      <c r="C60" s="30">
        <v>6.0</v>
      </c>
      <c r="D60" s="2" t="s">
        <v>1151</v>
      </c>
      <c r="E60" s="2" t="s">
        <v>221</v>
      </c>
      <c r="F60" s="2" t="s">
        <v>1435</v>
      </c>
      <c r="G60" s="2" t="s">
        <v>1436</v>
      </c>
      <c r="H60" s="2" t="s">
        <v>750</v>
      </c>
      <c r="I60" s="2" t="s">
        <v>301</v>
      </c>
      <c r="J60" s="2" t="s">
        <v>1437</v>
      </c>
      <c r="K60" s="2" t="s">
        <v>1438</v>
      </c>
    </row>
    <row r="61" ht="22.5" customHeight="1">
      <c r="A61" s="3" t="s">
        <v>532</v>
      </c>
      <c r="B61" s="2" t="s">
        <v>533</v>
      </c>
      <c r="C61" s="30">
        <v>7.0</v>
      </c>
      <c r="D61" s="2" t="s">
        <v>1145</v>
      </c>
      <c r="E61" s="2" t="s">
        <v>114</v>
      </c>
      <c r="F61" s="2" t="s">
        <v>1439</v>
      </c>
      <c r="G61" s="2" t="s">
        <v>1440</v>
      </c>
      <c r="H61" s="2" t="s">
        <v>260</v>
      </c>
      <c r="I61" s="2" t="s">
        <v>263</v>
      </c>
      <c r="J61" s="2" t="s">
        <v>1441</v>
      </c>
      <c r="K61" s="2" t="s">
        <v>1442</v>
      </c>
    </row>
    <row r="62" ht="22.5" customHeight="1">
      <c r="A62" s="3" t="s">
        <v>532</v>
      </c>
      <c r="B62" s="2" t="s">
        <v>533</v>
      </c>
      <c r="C62" s="30">
        <v>8.0</v>
      </c>
      <c r="D62" s="2" t="s">
        <v>1145</v>
      </c>
      <c r="E62" s="2" t="s">
        <v>364</v>
      </c>
      <c r="F62" s="2" t="s">
        <v>1443</v>
      </c>
      <c r="G62" s="2" t="s">
        <v>1444</v>
      </c>
      <c r="H62" s="2" t="s">
        <v>265</v>
      </c>
      <c r="I62" s="2" t="s">
        <v>263</v>
      </c>
      <c r="J62" s="2" t="s">
        <v>1445</v>
      </c>
      <c r="K62" s="2" t="s">
        <v>1446</v>
      </c>
    </row>
    <row r="63" ht="22.5" customHeight="1">
      <c r="A63" s="3" t="s">
        <v>532</v>
      </c>
      <c r="B63" s="2" t="s">
        <v>533</v>
      </c>
      <c r="C63" s="30">
        <v>9.0</v>
      </c>
      <c r="D63" s="2" t="s">
        <v>1189</v>
      </c>
      <c r="E63" s="2" t="s">
        <v>221</v>
      </c>
      <c r="F63" s="2" t="s">
        <v>1447</v>
      </c>
      <c r="G63" s="2" t="s">
        <v>1448</v>
      </c>
      <c r="H63" s="2" t="s">
        <v>1449</v>
      </c>
      <c r="I63" s="2" t="s">
        <v>1450</v>
      </c>
      <c r="J63" s="2" t="s">
        <v>1451</v>
      </c>
      <c r="K63" s="2" t="s">
        <v>1452</v>
      </c>
    </row>
    <row r="64" ht="22.5" customHeight="1">
      <c r="A64" s="4" t="s">
        <v>417</v>
      </c>
      <c r="B64" s="2" t="s">
        <v>538</v>
      </c>
      <c r="C64" s="30">
        <v>1.0</v>
      </c>
      <c r="D64" s="2" t="s">
        <v>1138</v>
      </c>
      <c r="E64" s="2" t="s">
        <v>114</v>
      </c>
      <c r="F64" s="2" t="s">
        <v>1453</v>
      </c>
      <c r="G64" s="2" t="s">
        <v>1454</v>
      </c>
      <c r="H64" s="2" t="s">
        <v>415</v>
      </c>
      <c r="I64" s="2" t="s">
        <v>420</v>
      </c>
      <c r="J64" s="2" t="s">
        <v>1455</v>
      </c>
      <c r="K64" s="2" t="s">
        <v>1456</v>
      </c>
    </row>
    <row r="65" ht="22.5" customHeight="1">
      <c r="A65" s="4" t="s">
        <v>417</v>
      </c>
      <c r="B65" s="2" t="s">
        <v>538</v>
      </c>
      <c r="C65" s="30">
        <v>2.0</v>
      </c>
      <c r="D65" s="2" t="s">
        <v>1145</v>
      </c>
      <c r="E65" s="2" t="s">
        <v>114</v>
      </c>
      <c r="F65" s="2" t="s">
        <v>1457</v>
      </c>
      <c r="G65" s="2" t="s">
        <v>1458</v>
      </c>
      <c r="H65" s="2" t="s">
        <v>415</v>
      </c>
      <c r="I65" s="2" t="s">
        <v>762</v>
      </c>
      <c r="J65" s="2" t="s">
        <v>1459</v>
      </c>
      <c r="K65" s="2" t="s">
        <v>1460</v>
      </c>
    </row>
    <row r="66" ht="22.5" customHeight="1">
      <c r="A66" s="4" t="s">
        <v>417</v>
      </c>
      <c r="B66" s="2" t="s">
        <v>538</v>
      </c>
      <c r="C66" s="30">
        <v>3.0</v>
      </c>
      <c r="D66" s="2" t="s">
        <v>1461</v>
      </c>
      <c r="E66" s="2" t="s">
        <v>1462</v>
      </c>
      <c r="F66" s="2" t="s">
        <v>1463</v>
      </c>
      <c r="G66" s="2" t="s">
        <v>1464</v>
      </c>
      <c r="H66" s="2" t="s">
        <v>423</v>
      </c>
      <c r="I66" s="2" t="s">
        <v>1465</v>
      </c>
      <c r="J66" s="2" t="s">
        <v>1466</v>
      </c>
      <c r="K66" s="2" t="s">
        <v>1467</v>
      </c>
    </row>
    <row r="67" ht="22.5" customHeight="1">
      <c r="A67" s="4" t="s">
        <v>417</v>
      </c>
      <c r="B67" s="2" t="s">
        <v>538</v>
      </c>
      <c r="C67" s="30">
        <v>4.0</v>
      </c>
      <c r="D67" s="2" t="s">
        <v>1151</v>
      </c>
      <c r="E67" s="2" t="s">
        <v>221</v>
      </c>
      <c r="F67" s="2" t="s">
        <v>1468</v>
      </c>
      <c r="G67" s="2" t="s">
        <v>1469</v>
      </c>
      <c r="H67" s="2" t="s">
        <v>423</v>
      </c>
      <c r="I67" s="2" t="s">
        <v>1470</v>
      </c>
      <c r="J67" s="2" t="s">
        <v>1471</v>
      </c>
      <c r="K67" s="2" t="s">
        <v>1472</v>
      </c>
    </row>
    <row r="68" ht="22.5" customHeight="1">
      <c r="A68" s="4" t="s">
        <v>417</v>
      </c>
      <c r="B68" s="2" t="s">
        <v>538</v>
      </c>
      <c r="C68" s="30">
        <v>5.0</v>
      </c>
      <c r="D68" s="2" t="s">
        <v>1145</v>
      </c>
      <c r="E68" s="2" t="s">
        <v>432</v>
      </c>
      <c r="F68" s="2" t="s">
        <v>1473</v>
      </c>
      <c r="G68" s="2" t="s">
        <v>1474</v>
      </c>
      <c r="H68" s="2" t="s">
        <v>430</v>
      </c>
      <c r="I68" s="2" t="s">
        <v>774</v>
      </c>
      <c r="J68" s="2" t="s">
        <v>1475</v>
      </c>
      <c r="K68" s="2" t="s">
        <v>1476</v>
      </c>
    </row>
    <row r="69" ht="22.5" customHeight="1">
      <c r="A69" s="4" t="s">
        <v>417</v>
      </c>
      <c r="B69" s="2" t="s">
        <v>538</v>
      </c>
      <c r="C69" s="30">
        <v>6.0</v>
      </c>
      <c r="D69" s="2" t="s">
        <v>1189</v>
      </c>
      <c r="E69" s="2" t="s">
        <v>221</v>
      </c>
      <c r="F69" s="2" t="s">
        <v>1477</v>
      </c>
      <c r="G69" s="2" t="s">
        <v>1478</v>
      </c>
      <c r="H69" s="2" t="s">
        <v>430</v>
      </c>
      <c r="I69" s="2" t="s">
        <v>1479</v>
      </c>
      <c r="J69" s="2" t="s">
        <v>1480</v>
      </c>
      <c r="K69" s="2" t="s">
        <v>1481</v>
      </c>
    </row>
    <row r="70" ht="22.5" customHeight="1">
      <c r="A70" s="3" t="s">
        <v>545</v>
      </c>
      <c r="B70" s="2" t="s">
        <v>546</v>
      </c>
      <c r="C70" s="30">
        <v>1.0</v>
      </c>
      <c r="D70" s="2" t="s">
        <v>1138</v>
      </c>
      <c r="E70" s="2" t="s">
        <v>256</v>
      </c>
      <c r="F70" s="2" t="s">
        <v>1482</v>
      </c>
      <c r="G70" s="2" t="s">
        <v>1483</v>
      </c>
      <c r="H70" s="2" t="s">
        <v>1484</v>
      </c>
      <c r="I70" s="2" t="s">
        <v>1485</v>
      </c>
      <c r="J70" s="2" t="s">
        <v>1486</v>
      </c>
      <c r="K70" s="2" t="s">
        <v>1487</v>
      </c>
    </row>
    <row r="71" ht="22.5" customHeight="1">
      <c r="A71" s="3" t="s">
        <v>545</v>
      </c>
      <c r="B71" s="2" t="s">
        <v>546</v>
      </c>
      <c r="C71" s="30">
        <v>2.0</v>
      </c>
      <c r="D71" s="2" t="s">
        <v>1145</v>
      </c>
      <c r="E71" s="2" t="s">
        <v>256</v>
      </c>
      <c r="F71" s="2" t="s">
        <v>1488</v>
      </c>
      <c r="G71" s="2" t="s">
        <v>1489</v>
      </c>
      <c r="H71" s="2" t="s">
        <v>1490</v>
      </c>
      <c r="I71" s="2" t="s">
        <v>1491</v>
      </c>
      <c r="J71" s="2" t="s">
        <v>1492</v>
      </c>
      <c r="K71" s="2" t="s">
        <v>1493</v>
      </c>
    </row>
    <row r="72" ht="22.5" customHeight="1">
      <c r="A72" s="3" t="s">
        <v>545</v>
      </c>
      <c r="B72" s="2" t="s">
        <v>546</v>
      </c>
      <c r="C72" s="30">
        <v>3.0</v>
      </c>
      <c r="D72" s="2" t="s">
        <v>1145</v>
      </c>
      <c r="E72" s="2" t="s">
        <v>364</v>
      </c>
      <c r="F72" s="2" t="s">
        <v>1494</v>
      </c>
      <c r="G72" s="2" t="s">
        <v>1495</v>
      </c>
      <c r="H72" s="2" t="s">
        <v>1496</v>
      </c>
      <c r="I72" s="2" t="s">
        <v>1497</v>
      </c>
      <c r="J72" s="2" t="s">
        <v>1498</v>
      </c>
      <c r="K72" s="2" t="s">
        <v>1499</v>
      </c>
    </row>
    <row r="73" ht="22.5" customHeight="1">
      <c r="A73" s="3" t="s">
        <v>545</v>
      </c>
      <c r="B73" s="2" t="s">
        <v>546</v>
      </c>
      <c r="C73" s="30">
        <v>4.0</v>
      </c>
      <c r="D73" s="2" t="s">
        <v>1145</v>
      </c>
      <c r="E73" s="2" t="s">
        <v>256</v>
      </c>
      <c r="F73" s="2" t="s">
        <v>1500</v>
      </c>
      <c r="G73" s="2" t="s">
        <v>1501</v>
      </c>
      <c r="H73" s="2" t="s">
        <v>1502</v>
      </c>
      <c r="I73" s="2" t="s">
        <v>1503</v>
      </c>
      <c r="J73" s="2" t="s">
        <v>1504</v>
      </c>
      <c r="K73" s="2" t="s">
        <v>380</v>
      </c>
    </row>
    <row r="74" ht="22.5" customHeight="1">
      <c r="A74" s="3" t="s">
        <v>545</v>
      </c>
      <c r="B74" s="2" t="s">
        <v>546</v>
      </c>
      <c r="C74" s="30">
        <v>5.0</v>
      </c>
      <c r="D74" s="2" t="s">
        <v>1356</v>
      </c>
      <c r="E74" s="2" t="s">
        <v>256</v>
      </c>
      <c r="F74" s="2" t="s">
        <v>1505</v>
      </c>
      <c r="G74" s="2" t="s">
        <v>1506</v>
      </c>
      <c r="H74" s="2" t="s">
        <v>381</v>
      </c>
      <c r="I74" s="2" t="s">
        <v>864</v>
      </c>
      <c r="J74" s="2" t="s">
        <v>1507</v>
      </c>
      <c r="K74" s="2" t="s">
        <v>385</v>
      </c>
    </row>
    <row r="75" ht="22.5" customHeight="1">
      <c r="A75" s="4" t="s">
        <v>545</v>
      </c>
      <c r="B75" s="6" t="s">
        <v>546</v>
      </c>
      <c r="C75" s="30">
        <v>6.0</v>
      </c>
      <c r="D75" s="6" t="s">
        <v>1508</v>
      </c>
      <c r="E75" s="6" t="s">
        <v>1509</v>
      </c>
      <c r="F75" s="6" t="s">
        <v>1510</v>
      </c>
      <c r="G75" s="6" t="s">
        <v>1511</v>
      </c>
      <c r="H75" s="2" t="s">
        <v>387</v>
      </c>
      <c r="I75" s="6" t="s">
        <v>393</v>
      </c>
      <c r="J75" s="6" t="s">
        <v>1512</v>
      </c>
      <c r="K75" s="6" t="s">
        <v>1513</v>
      </c>
    </row>
    <row r="76" ht="22.5" customHeight="1">
      <c r="A76" s="4" t="s">
        <v>545</v>
      </c>
      <c r="B76" s="6" t="s">
        <v>546</v>
      </c>
      <c r="C76" s="30">
        <v>7.0</v>
      </c>
      <c r="D76" s="6" t="s">
        <v>1189</v>
      </c>
      <c r="E76" s="6" t="s">
        <v>221</v>
      </c>
      <c r="F76" s="6" t="s">
        <v>1514</v>
      </c>
      <c r="G76" s="6" t="s">
        <v>1515</v>
      </c>
      <c r="H76" s="2" t="s">
        <v>1516</v>
      </c>
      <c r="I76" s="6" t="s">
        <v>1517</v>
      </c>
      <c r="J76" s="6" t="s">
        <v>1518</v>
      </c>
      <c r="K76" s="6" t="s">
        <v>1519</v>
      </c>
    </row>
    <row r="77" ht="22.5" customHeight="1">
      <c r="A77" s="4" t="s">
        <v>551</v>
      </c>
      <c r="B77" s="6" t="s">
        <v>552</v>
      </c>
      <c r="C77" s="30">
        <v>1.0</v>
      </c>
      <c r="D77" s="6" t="s">
        <v>1138</v>
      </c>
      <c r="E77" s="6" t="s">
        <v>1520</v>
      </c>
      <c r="F77" s="6" t="s">
        <v>1521</v>
      </c>
      <c r="G77" s="6" t="s">
        <v>1522</v>
      </c>
      <c r="H77" s="2" t="s">
        <v>1523</v>
      </c>
      <c r="I77" s="6" t="s">
        <v>1524</v>
      </c>
      <c r="J77" s="6" t="s">
        <v>1525</v>
      </c>
      <c r="K77" s="6" t="s">
        <v>1526</v>
      </c>
    </row>
    <row r="78" ht="22.5" customHeight="1">
      <c r="A78" s="4" t="s">
        <v>551</v>
      </c>
      <c r="B78" s="6" t="s">
        <v>552</v>
      </c>
      <c r="C78" s="30">
        <v>2.0</v>
      </c>
      <c r="D78" s="6" t="s">
        <v>1151</v>
      </c>
      <c r="E78" s="6" t="s">
        <v>221</v>
      </c>
      <c r="F78" s="6" t="s">
        <v>1527</v>
      </c>
      <c r="G78" s="6" t="s">
        <v>1528</v>
      </c>
      <c r="H78" s="2" t="s">
        <v>331</v>
      </c>
      <c r="I78" s="6" t="s">
        <v>336</v>
      </c>
      <c r="J78" s="6" t="s">
        <v>1529</v>
      </c>
      <c r="K78" s="6" t="s">
        <v>1530</v>
      </c>
    </row>
    <row r="79" ht="22.5" customHeight="1">
      <c r="A79" s="4" t="s">
        <v>551</v>
      </c>
      <c r="B79" s="6" t="s">
        <v>552</v>
      </c>
      <c r="C79" s="30">
        <v>3.0</v>
      </c>
      <c r="D79" s="6" t="s">
        <v>1151</v>
      </c>
      <c r="E79" s="6" t="s">
        <v>221</v>
      </c>
      <c r="F79" s="6" t="s">
        <v>1531</v>
      </c>
      <c r="G79" s="6" t="s">
        <v>1532</v>
      </c>
      <c r="H79" s="2" t="s">
        <v>1533</v>
      </c>
      <c r="I79" s="6" t="s">
        <v>1534</v>
      </c>
      <c r="J79" s="6" t="s">
        <v>1535</v>
      </c>
      <c r="K79" s="6" t="s">
        <v>1536</v>
      </c>
    </row>
    <row r="80" ht="22.5" customHeight="1">
      <c r="A80" s="4" t="s">
        <v>551</v>
      </c>
      <c r="B80" s="6" t="s">
        <v>552</v>
      </c>
      <c r="C80" s="30">
        <v>4.0</v>
      </c>
      <c r="D80" s="6" t="s">
        <v>1151</v>
      </c>
      <c r="E80" s="6" t="s">
        <v>815</v>
      </c>
      <c r="F80" s="6" t="s">
        <v>1537</v>
      </c>
      <c r="G80" s="6" t="s">
        <v>1538</v>
      </c>
      <c r="H80" s="2" t="s">
        <v>1539</v>
      </c>
      <c r="I80" s="6" t="s">
        <v>1540</v>
      </c>
      <c r="J80" s="6" t="s">
        <v>1541</v>
      </c>
      <c r="K80" s="6" t="s">
        <v>1542</v>
      </c>
    </row>
    <row r="81" ht="22.5" customHeight="1">
      <c r="A81" s="4" t="s">
        <v>551</v>
      </c>
      <c r="B81" s="6" t="s">
        <v>552</v>
      </c>
      <c r="C81" s="30">
        <v>5.0</v>
      </c>
      <c r="D81" s="6" t="s">
        <v>1145</v>
      </c>
      <c r="E81" s="6" t="s">
        <v>1520</v>
      </c>
      <c r="F81" s="6" t="s">
        <v>1543</v>
      </c>
      <c r="G81" s="6" t="s">
        <v>1544</v>
      </c>
      <c r="H81" s="2" t="s">
        <v>554</v>
      </c>
      <c r="I81" s="6" t="s">
        <v>1540</v>
      </c>
      <c r="J81" s="6" t="s">
        <v>1545</v>
      </c>
      <c r="K81" s="6" t="s">
        <v>1546</v>
      </c>
    </row>
    <row r="82" ht="22.5" customHeight="1">
      <c r="A82" s="4" t="s">
        <v>551</v>
      </c>
      <c r="B82" s="6" t="s">
        <v>552</v>
      </c>
      <c r="C82" s="30">
        <v>6.0</v>
      </c>
      <c r="D82" s="6" t="s">
        <v>1547</v>
      </c>
      <c r="E82" s="6" t="s">
        <v>221</v>
      </c>
      <c r="F82" s="6" t="s">
        <v>1548</v>
      </c>
      <c r="G82" s="6" t="s">
        <v>1549</v>
      </c>
      <c r="H82" s="2" t="s">
        <v>331</v>
      </c>
      <c r="I82" s="6" t="s">
        <v>798</v>
      </c>
      <c r="J82" s="6" t="s">
        <v>1550</v>
      </c>
      <c r="K82" s="6" t="s">
        <v>1551</v>
      </c>
    </row>
    <row r="83" ht="22.5" customHeight="1">
      <c r="A83" s="4" t="s">
        <v>551</v>
      </c>
      <c r="B83" s="6" t="s">
        <v>552</v>
      </c>
      <c r="C83" s="30">
        <v>7.0</v>
      </c>
      <c r="D83" s="6" t="s">
        <v>1189</v>
      </c>
      <c r="E83" s="6" t="s">
        <v>221</v>
      </c>
      <c r="F83" s="6" t="s">
        <v>1552</v>
      </c>
      <c r="G83" s="6" t="s">
        <v>1553</v>
      </c>
      <c r="H83" s="2" t="s">
        <v>554</v>
      </c>
      <c r="I83" s="6" t="s">
        <v>1540</v>
      </c>
      <c r="J83" s="6" t="s">
        <v>1554</v>
      </c>
      <c r="K83" s="6" t="s">
        <v>1555</v>
      </c>
    </row>
    <row r="84" ht="22.5" customHeight="1">
      <c r="A84" s="4" t="s">
        <v>557</v>
      </c>
      <c r="B84" s="6" t="s">
        <v>558</v>
      </c>
      <c r="C84" s="30">
        <v>1.0</v>
      </c>
      <c r="D84" s="6" t="s">
        <v>1138</v>
      </c>
      <c r="E84" s="6" t="s">
        <v>88</v>
      </c>
      <c r="F84" s="6" t="s">
        <v>1556</v>
      </c>
      <c r="G84" s="6" t="s">
        <v>1557</v>
      </c>
      <c r="H84" s="2" t="s">
        <v>396</v>
      </c>
      <c r="I84" s="6" t="s">
        <v>1558</v>
      </c>
      <c r="J84" s="6" t="s">
        <v>1559</v>
      </c>
      <c r="K84" s="6" t="s">
        <v>1560</v>
      </c>
    </row>
    <row r="85" ht="22.5" customHeight="1">
      <c r="A85" s="4" t="s">
        <v>557</v>
      </c>
      <c r="B85" s="6" t="s">
        <v>558</v>
      </c>
      <c r="C85" s="30">
        <v>2.0</v>
      </c>
      <c r="D85" s="6" t="s">
        <v>1151</v>
      </c>
      <c r="E85" s="6" t="s">
        <v>221</v>
      </c>
      <c r="F85" s="6" t="s">
        <v>1561</v>
      </c>
      <c r="G85" s="6" t="s">
        <v>1562</v>
      </c>
      <c r="H85" s="2" t="s">
        <v>1563</v>
      </c>
      <c r="I85" s="6" t="s">
        <v>1564</v>
      </c>
      <c r="J85" s="6" t="s">
        <v>1565</v>
      </c>
      <c r="K85" s="6" t="s">
        <v>1566</v>
      </c>
    </row>
    <row r="86" ht="22.5" customHeight="1">
      <c r="A86" s="4" t="s">
        <v>557</v>
      </c>
      <c r="B86" s="6" t="s">
        <v>558</v>
      </c>
      <c r="C86" s="30">
        <v>3.0</v>
      </c>
      <c r="D86" s="6" t="s">
        <v>1145</v>
      </c>
      <c r="E86" s="6" t="s">
        <v>88</v>
      </c>
      <c r="F86" s="6" t="s">
        <v>1567</v>
      </c>
      <c r="G86" s="6" t="s">
        <v>1568</v>
      </c>
      <c r="H86" s="2" t="s">
        <v>402</v>
      </c>
      <c r="I86" s="6" t="s">
        <v>1569</v>
      </c>
      <c r="J86" s="6" t="s">
        <v>1570</v>
      </c>
      <c r="K86" s="6" t="s">
        <v>1571</v>
      </c>
    </row>
    <row r="87" ht="22.5" customHeight="1">
      <c r="A87" s="4" t="s">
        <v>557</v>
      </c>
      <c r="B87" s="6" t="s">
        <v>558</v>
      </c>
      <c r="C87" s="30">
        <v>4.0</v>
      </c>
      <c r="D87" s="6" t="s">
        <v>1572</v>
      </c>
      <c r="E87" s="6" t="s">
        <v>1573</v>
      </c>
      <c r="F87" s="6" t="s">
        <v>1574</v>
      </c>
      <c r="G87" s="6" t="s">
        <v>1575</v>
      </c>
      <c r="H87" s="2" t="s">
        <v>402</v>
      </c>
      <c r="I87" s="6" t="s">
        <v>1576</v>
      </c>
      <c r="J87" s="6" t="s">
        <v>1577</v>
      </c>
      <c r="K87" s="6" t="s">
        <v>1578</v>
      </c>
    </row>
    <row r="88" ht="22.5" customHeight="1">
      <c r="A88" s="4" t="s">
        <v>557</v>
      </c>
      <c r="B88" s="6" t="s">
        <v>558</v>
      </c>
      <c r="C88" s="30">
        <v>5.0</v>
      </c>
      <c r="D88" s="6" t="s">
        <v>1151</v>
      </c>
      <c r="E88" s="6" t="s">
        <v>221</v>
      </c>
      <c r="F88" s="6" t="s">
        <v>1579</v>
      </c>
      <c r="G88" s="6" t="s">
        <v>1580</v>
      </c>
      <c r="H88" s="2" t="s">
        <v>659</v>
      </c>
      <c r="I88" s="6" t="s">
        <v>1564</v>
      </c>
      <c r="J88" s="6" t="s">
        <v>1581</v>
      </c>
      <c r="K88" s="6" t="s">
        <v>644</v>
      </c>
    </row>
    <row r="89" ht="22.5" customHeight="1">
      <c r="A89" s="4" t="s">
        <v>557</v>
      </c>
      <c r="B89" s="6" t="s">
        <v>558</v>
      </c>
      <c r="C89" s="30">
        <v>6.0</v>
      </c>
      <c r="D89" s="6" t="s">
        <v>1582</v>
      </c>
      <c r="E89" s="6" t="s">
        <v>221</v>
      </c>
      <c r="F89" s="6" t="s">
        <v>1583</v>
      </c>
      <c r="G89" s="6" t="s">
        <v>1584</v>
      </c>
      <c r="H89" s="2" t="s">
        <v>409</v>
      </c>
      <c r="I89" s="6" t="s">
        <v>632</v>
      </c>
      <c r="J89" s="6" t="s">
        <v>1585</v>
      </c>
      <c r="K89" s="6" t="s">
        <v>1586</v>
      </c>
    </row>
    <row r="90" ht="22.5" customHeight="1">
      <c r="A90" s="4" t="s">
        <v>557</v>
      </c>
      <c r="B90" s="6" t="s">
        <v>558</v>
      </c>
      <c r="C90" s="30">
        <v>7.0</v>
      </c>
      <c r="D90" s="6" t="s">
        <v>1189</v>
      </c>
      <c r="E90" s="6" t="s">
        <v>221</v>
      </c>
      <c r="F90" s="6" t="s">
        <v>1587</v>
      </c>
      <c r="G90" s="6" t="s">
        <v>1588</v>
      </c>
      <c r="H90" s="2" t="s">
        <v>560</v>
      </c>
      <c r="I90" s="6" t="s">
        <v>1589</v>
      </c>
      <c r="J90" s="6" t="s">
        <v>1590</v>
      </c>
      <c r="K90" s="6" t="s">
        <v>1591</v>
      </c>
    </row>
    <row r="91">
      <c r="A91" s="22"/>
      <c r="B91" s="22"/>
      <c r="C91" s="22"/>
      <c r="D91" s="22"/>
      <c r="E91" s="22"/>
      <c r="F91" s="22"/>
      <c r="G91" s="22"/>
      <c r="H91" s="22"/>
      <c r="I91" s="22"/>
      <c r="J91" s="22"/>
      <c r="K91" s="22"/>
    </row>
    <row r="92">
      <c r="A92" s="22"/>
      <c r="B92" s="22"/>
      <c r="C92" s="22"/>
      <c r="D92" s="22"/>
      <c r="E92" s="22"/>
      <c r="F92" s="22"/>
      <c r="G92" s="22"/>
      <c r="H92" s="22"/>
      <c r="I92" s="22"/>
      <c r="J92" s="22"/>
      <c r="K92" s="22"/>
    </row>
    <row r="93">
      <c r="A93" s="22"/>
      <c r="B93" s="22"/>
      <c r="C93" s="22"/>
      <c r="D93" s="22"/>
      <c r="E93" s="22"/>
      <c r="F93" s="22"/>
      <c r="G93" s="22"/>
      <c r="H93" s="22"/>
      <c r="I93" s="22"/>
      <c r="J93" s="22"/>
      <c r="K93" s="22"/>
    </row>
    <row r="94">
      <c r="A94" s="22"/>
      <c r="B94" s="22"/>
      <c r="C94" s="22"/>
      <c r="D94" s="22"/>
      <c r="E94" s="22"/>
      <c r="F94" s="22"/>
      <c r="G94" s="22"/>
      <c r="H94" s="22"/>
      <c r="I94" s="22"/>
      <c r="J94" s="22"/>
      <c r="K94" s="22"/>
    </row>
    <row r="95">
      <c r="A95" s="22"/>
      <c r="B95" s="22"/>
      <c r="C95" s="22"/>
      <c r="D95" s="22"/>
      <c r="E95" s="22"/>
      <c r="F95" s="22"/>
      <c r="G95" s="22"/>
      <c r="H95" s="22"/>
      <c r="I95" s="22"/>
      <c r="J95" s="22"/>
      <c r="K95" s="22"/>
    </row>
    <row r="96">
      <c r="A96" s="22"/>
      <c r="B96" s="22"/>
      <c r="C96" s="22"/>
      <c r="D96" s="22"/>
      <c r="E96" s="22"/>
      <c r="F96" s="22"/>
      <c r="G96" s="22"/>
      <c r="H96" s="22"/>
      <c r="I96" s="22"/>
      <c r="J96" s="22"/>
      <c r="K96" s="22"/>
    </row>
    <row r="97">
      <c r="A97" s="22"/>
      <c r="B97" s="22"/>
      <c r="C97" s="22"/>
      <c r="D97" s="22"/>
      <c r="E97" s="22"/>
      <c r="F97" s="22"/>
      <c r="G97" s="22"/>
      <c r="H97" s="22"/>
      <c r="I97" s="22"/>
      <c r="J97" s="22"/>
      <c r="K97" s="22"/>
    </row>
    <row r="98">
      <c r="A98" s="22"/>
      <c r="B98" s="22"/>
      <c r="C98" s="22"/>
      <c r="D98" s="22"/>
      <c r="E98" s="22"/>
      <c r="F98" s="22"/>
      <c r="G98" s="22"/>
      <c r="H98" s="22"/>
      <c r="I98" s="22"/>
      <c r="J98" s="22"/>
      <c r="K98" s="22"/>
    </row>
    <row r="99">
      <c r="A99" s="22"/>
      <c r="B99" s="22"/>
      <c r="C99" s="22"/>
      <c r="D99" s="22"/>
      <c r="E99" s="22"/>
      <c r="F99" s="22"/>
      <c r="G99" s="22"/>
      <c r="H99" s="22"/>
      <c r="I99" s="22"/>
      <c r="J99" s="22"/>
      <c r="K99" s="22"/>
    </row>
    <row r="100">
      <c r="A100" s="3" t="s">
        <v>557</v>
      </c>
      <c r="B100" s="3" t="s">
        <v>558</v>
      </c>
      <c r="C100" s="3">
        <v>1.0</v>
      </c>
      <c r="D100" s="3" t="s">
        <v>1138</v>
      </c>
      <c r="E100" s="3" t="s">
        <v>88</v>
      </c>
      <c r="F100" s="3" t="s">
        <v>1556</v>
      </c>
      <c r="G100" s="3" t="s">
        <v>1592</v>
      </c>
      <c r="H100" s="3" t="s">
        <v>396</v>
      </c>
      <c r="I100" s="3" t="s">
        <v>1593</v>
      </c>
      <c r="J100" s="3" t="s">
        <v>1594</v>
      </c>
      <c r="K100" s="3" t="s">
        <v>1560</v>
      </c>
    </row>
    <row r="101">
      <c r="A101" s="3" t="s">
        <v>557</v>
      </c>
      <c r="B101" s="3" t="s">
        <v>558</v>
      </c>
      <c r="C101" s="3">
        <v>2.0</v>
      </c>
      <c r="D101" s="3" t="s">
        <v>1151</v>
      </c>
      <c r="E101" s="3" t="s">
        <v>221</v>
      </c>
      <c r="F101" s="3" t="s">
        <v>1595</v>
      </c>
      <c r="G101" s="3" t="s">
        <v>1596</v>
      </c>
      <c r="H101" s="3" t="s">
        <v>1563</v>
      </c>
      <c r="I101" s="3" t="s">
        <v>1597</v>
      </c>
      <c r="J101" s="3" t="s">
        <v>1598</v>
      </c>
      <c r="K101" s="3" t="s">
        <v>1599</v>
      </c>
    </row>
    <row r="102">
      <c r="A102" s="3" t="s">
        <v>557</v>
      </c>
      <c r="B102" s="3" t="s">
        <v>558</v>
      </c>
      <c r="C102" s="3">
        <v>3.0</v>
      </c>
      <c r="D102" s="3" t="s">
        <v>1145</v>
      </c>
      <c r="E102" s="3" t="s">
        <v>88</v>
      </c>
      <c r="F102" s="3" t="s">
        <v>1600</v>
      </c>
      <c r="G102" s="3" t="s">
        <v>1601</v>
      </c>
      <c r="H102" s="3" t="s">
        <v>402</v>
      </c>
      <c r="I102" s="3" t="s">
        <v>1602</v>
      </c>
      <c r="J102" s="3" t="s">
        <v>1603</v>
      </c>
      <c r="K102" s="3" t="s">
        <v>1571</v>
      </c>
    </row>
    <row r="103">
      <c r="A103" s="3" t="s">
        <v>557</v>
      </c>
      <c r="B103" s="3" t="s">
        <v>558</v>
      </c>
      <c r="C103" s="3">
        <v>4.0</v>
      </c>
      <c r="D103" s="3" t="s">
        <v>1572</v>
      </c>
      <c r="E103" s="3" t="s">
        <v>1573</v>
      </c>
      <c r="F103" s="3" t="s">
        <v>1574</v>
      </c>
      <c r="G103" s="3" t="s">
        <v>1604</v>
      </c>
      <c r="H103" s="3" t="s">
        <v>402</v>
      </c>
      <c r="I103" s="3" t="s">
        <v>1605</v>
      </c>
      <c r="J103" s="3" t="s">
        <v>1577</v>
      </c>
      <c r="K103" s="3" t="s">
        <v>1578</v>
      </c>
    </row>
    <row r="104">
      <c r="A104" s="3" t="s">
        <v>557</v>
      </c>
      <c r="B104" s="3" t="s">
        <v>558</v>
      </c>
      <c r="C104" s="3">
        <v>5.0</v>
      </c>
      <c r="D104" s="3" t="s">
        <v>1151</v>
      </c>
      <c r="E104" s="3" t="s">
        <v>221</v>
      </c>
      <c r="F104" s="3" t="s">
        <v>1579</v>
      </c>
      <c r="G104" s="3" t="s">
        <v>1606</v>
      </c>
      <c r="H104" s="3" t="s">
        <v>659</v>
      </c>
      <c r="I104" s="3" t="s">
        <v>1607</v>
      </c>
      <c r="J104" s="3" t="s">
        <v>1581</v>
      </c>
      <c r="K104" s="3" t="s">
        <v>660</v>
      </c>
    </row>
    <row r="105">
      <c r="A105" s="3" t="s">
        <v>557</v>
      </c>
      <c r="B105" s="3" t="s">
        <v>558</v>
      </c>
      <c r="C105" s="3">
        <v>6.0</v>
      </c>
      <c r="D105" s="3" t="s">
        <v>1582</v>
      </c>
      <c r="E105" s="3" t="s">
        <v>221</v>
      </c>
      <c r="F105" s="3" t="s">
        <v>1608</v>
      </c>
      <c r="G105" s="3" t="s">
        <v>1584</v>
      </c>
      <c r="H105" s="3" t="s">
        <v>409</v>
      </c>
      <c r="I105" s="3" t="s">
        <v>1609</v>
      </c>
      <c r="J105" s="3" t="s">
        <v>1585</v>
      </c>
      <c r="K105" s="3" t="s">
        <v>1586</v>
      </c>
    </row>
    <row r="106">
      <c r="A106" s="3" t="s">
        <v>557</v>
      </c>
      <c r="B106" s="3" t="s">
        <v>558</v>
      </c>
      <c r="C106" s="3">
        <v>7.0</v>
      </c>
      <c r="D106" s="3" t="s">
        <v>1189</v>
      </c>
      <c r="E106" s="3" t="s">
        <v>221</v>
      </c>
      <c r="F106" s="3" t="s">
        <v>1610</v>
      </c>
      <c r="G106" s="3" t="s">
        <v>1611</v>
      </c>
      <c r="H106" s="3" t="s">
        <v>560</v>
      </c>
      <c r="I106" s="3" t="s">
        <v>1612</v>
      </c>
      <c r="J106" s="3" t="s">
        <v>1590</v>
      </c>
      <c r="K106" s="3" t="s">
        <v>1613</v>
      </c>
    </row>
    <row r="107">
      <c r="A107" s="22"/>
      <c r="B107" s="22"/>
      <c r="C107" s="22"/>
      <c r="D107" s="22"/>
      <c r="E107" s="22"/>
      <c r="F107" s="22"/>
      <c r="G107" s="22"/>
      <c r="H107" s="22"/>
      <c r="I107" s="22"/>
      <c r="J107" s="22"/>
      <c r="K107" s="22"/>
    </row>
    <row r="108">
      <c r="A108" s="22"/>
      <c r="B108" s="22"/>
      <c r="C108" s="22"/>
      <c r="D108" s="22"/>
      <c r="E108" s="22"/>
      <c r="F108" s="22"/>
      <c r="G108" s="22"/>
      <c r="H108" s="22"/>
      <c r="I108" s="22"/>
      <c r="J108" s="22"/>
      <c r="K108" s="22"/>
    </row>
    <row r="109">
      <c r="A109" s="22"/>
      <c r="B109" s="22"/>
      <c r="C109" s="22"/>
      <c r="D109" s="22"/>
      <c r="E109" s="22"/>
      <c r="F109" s="22"/>
      <c r="G109" s="22"/>
      <c r="H109" s="22"/>
      <c r="I109" s="22"/>
      <c r="J109" s="22"/>
      <c r="K109" s="22"/>
    </row>
    <row r="110">
      <c r="A110" s="22"/>
      <c r="B110" s="22"/>
      <c r="C110" s="22"/>
      <c r="D110" s="22"/>
      <c r="E110" s="22"/>
      <c r="F110" s="22"/>
      <c r="G110" s="22"/>
      <c r="H110" s="22"/>
      <c r="I110" s="22"/>
      <c r="J110" s="22"/>
      <c r="K110" s="22"/>
    </row>
    <row r="111">
      <c r="A111" s="22"/>
      <c r="B111" s="22"/>
      <c r="C111" s="22"/>
      <c r="D111" s="22"/>
      <c r="E111" s="22"/>
      <c r="F111" s="22"/>
      <c r="G111" s="22"/>
      <c r="H111" s="22"/>
      <c r="I111" s="22"/>
      <c r="J111" s="22"/>
      <c r="K111" s="22"/>
    </row>
    <row r="112">
      <c r="A112" s="22"/>
      <c r="B112" s="22"/>
      <c r="C112" s="22"/>
      <c r="D112" s="22"/>
      <c r="E112" s="22"/>
      <c r="F112" s="22"/>
      <c r="G112" s="22"/>
      <c r="H112" s="22"/>
      <c r="I112" s="22"/>
      <c r="J112" s="22"/>
      <c r="K112" s="22"/>
    </row>
    <row r="113">
      <c r="A113" s="22"/>
      <c r="B113" s="22"/>
      <c r="C113" s="22"/>
      <c r="D113" s="22"/>
      <c r="E113" s="22"/>
      <c r="F113" s="22"/>
      <c r="G113" s="22"/>
      <c r="H113" s="22"/>
      <c r="I113" s="22"/>
      <c r="J113" s="22"/>
      <c r="K113" s="22"/>
    </row>
    <row r="114">
      <c r="A114" s="22"/>
      <c r="B114" s="22"/>
      <c r="C114" s="22"/>
      <c r="D114" s="22"/>
      <c r="E114" s="22"/>
      <c r="F114" s="22"/>
      <c r="G114" s="22"/>
      <c r="H114" s="22"/>
      <c r="I114" s="22"/>
      <c r="J114" s="22"/>
      <c r="K114" s="22"/>
    </row>
    <row r="115">
      <c r="A115" s="22"/>
      <c r="B115" s="22"/>
      <c r="C115" s="22"/>
      <c r="D115" s="22"/>
      <c r="E115" s="22"/>
      <c r="F115" s="22"/>
      <c r="G115" s="22"/>
      <c r="H115" s="22"/>
      <c r="I115" s="22"/>
      <c r="J115" s="22"/>
      <c r="K115" s="22"/>
    </row>
    <row r="116">
      <c r="A116" s="22"/>
      <c r="B116" s="22"/>
      <c r="C116" s="22"/>
      <c r="D116" s="22"/>
      <c r="E116" s="22"/>
      <c r="F116" s="22"/>
      <c r="G116" s="22"/>
      <c r="H116" s="22"/>
      <c r="I116" s="22"/>
      <c r="J116" s="22"/>
      <c r="K116" s="22"/>
    </row>
    <row r="117">
      <c r="A117" s="22"/>
      <c r="B117" s="22"/>
      <c r="C117" s="22"/>
      <c r="D117" s="22"/>
      <c r="E117" s="22"/>
      <c r="F117" s="22"/>
      <c r="G117" s="22"/>
      <c r="H117" s="22"/>
      <c r="I117" s="22"/>
      <c r="J117" s="22"/>
      <c r="K117" s="22"/>
    </row>
    <row r="118">
      <c r="A118" s="22"/>
      <c r="B118" s="22"/>
      <c r="C118" s="22"/>
      <c r="D118" s="22"/>
      <c r="E118" s="22"/>
      <c r="F118" s="22"/>
      <c r="G118" s="22"/>
      <c r="H118" s="22"/>
      <c r="I118" s="22"/>
      <c r="J118" s="22"/>
      <c r="K118" s="22"/>
    </row>
    <row r="119">
      <c r="A119" s="22"/>
      <c r="B119" s="22"/>
      <c r="C119" s="22"/>
      <c r="D119" s="22"/>
      <c r="E119" s="22"/>
      <c r="F119" s="22"/>
      <c r="G119" s="22"/>
      <c r="H119" s="22"/>
      <c r="I119" s="22"/>
      <c r="J119" s="22"/>
      <c r="K119" s="22"/>
    </row>
    <row r="120">
      <c r="A120" s="22"/>
      <c r="B120" s="22"/>
      <c r="C120" s="22"/>
      <c r="D120" s="22"/>
      <c r="E120" s="22"/>
      <c r="F120" s="22"/>
      <c r="G120" s="22"/>
      <c r="H120" s="22"/>
      <c r="I120" s="22"/>
      <c r="J120" s="22"/>
      <c r="K120" s="22"/>
    </row>
    <row r="121">
      <c r="A121" s="22"/>
      <c r="B121" s="22"/>
      <c r="C121" s="22"/>
      <c r="D121" s="22"/>
      <c r="E121" s="22"/>
      <c r="F121" s="22"/>
      <c r="G121" s="22"/>
      <c r="H121" s="22"/>
      <c r="I121" s="22"/>
      <c r="J121" s="22"/>
      <c r="K121" s="22"/>
    </row>
    <row r="122">
      <c r="A122" s="22"/>
      <c r="B122" s="22"/>
      <c r="C122" s="22"/>
      <c r="D122" s="22"/>
      <c r="E122" s="22"/>
      <c r="F122" s="22"/>
      <c r="G122" s="22"/>
      <c r="H122" s="22"/>
      <c r="I122" s="22"/>
      <c r="J122" s="22"/>
      <c r="K122" s="22"/>
    </row>
    <row r="123">
      <c r="A123" s="22"/>
      <c r="B123" s="22"/>
      <c r="C123" s="22"/>
      <c r="D123" s="22"/>
      <c r="E123" s="22"/>
      <c r="F123" s="22"/>
      <c r="G123" s="22"/>
      <c r="H123" s="22"/>
      <c r="I123" s="22"/>
      <c r="J123" s="22"/>
      <c r="K123" s="22"/>
    </row>
    <row r="124">
      <c r="A124" s="22"/>
      <c r="B124" s="22"/>
      <c r="C124" s="22"/>
      <c r="D124" s="22"/>
      <c r="E124" s="22"/>
      <c r="F124" s="22"/>
      <c r="G124" s="22"/>
      <c r="H124" s="22"/>
      <c r="I124" s="22"/>
      <c r="J124" s="22"/>
      <c r="K124" s="22"/>
    </row>
    <row r="125">
      <c r="A125" s="22"/>
      <c r="B125" s="22"/>
      <c r="C125" s="22"/>
      <c r="D125" s="22"/>
      <c r="E125" s="22"/>
      <c r="F125" s="22"/>
      <c r="G125" s="22"/>
      <c r="H125" s="22"/>
      <c r="I125" s="22"/>
      <c r="J125" s="22"/>
      <c r="K125" s="22"/>
    </row>
    <row r="126">
      <c r="A126" s="22"/>
      <c r="B126" s="22"/>
      <c r="C126" s="22"/>
      <c r="D126" s="22"/>
      <c r="E126" s="22"/>
      <c r="F126" s="22"/>
      <c r="G126" s="22"/>
      <c r="H126" s="22"/>
      <c r="I126" s="22"/>
      <c r="J126" s="22"/>
      <c r="K126" s="22"/>
    </row>
    <row r="127">
      <c r="A127" s="22"/>
      <c r="B127" s="22"/>
      <c r="C127" s="22"/>
      <c r="D127" s="22"/>
      <c r="E127" s="22"/>
      <c r="F127" s="22"/>
      <c r="G127" s="22"/>
      <c r="H127" s="22"/>
      <c r="I127" s="22"/>
      <c r="J127" s="22"/>
      <c r="K127" s="22"/>
    </row>
    <row r="128">
      <c r="A128" s="22"/>
      <c r="B128" s="22"/>
      <c r="C128" s="22"/>
      <c r="D128" s="22"/>
      <c r="E128" s="22"/>
      <c r="F128" s="22"/>
      <c r="G128" s="22"/>
      <c r="H128" s="22"/>
      <c r="I128" s="22"/>
      <c r="J128" s="22"/>
      <c r="K128" s="22"/>
    </row>
    <row r="129">
      <c r="A129" s="22"/>
      <c r="B129" s="22"/>
      <c r="C129" s="22"/>
      <c r="D129" s="22"/>
      <c r="E129" s="22"/>
      <c r="F129" s="22"/>
      <c r="G129" s="22"/>
      <c r="H129" s="22"/>
      <c r="I129" s="22"/>
      <c r="J129" s="22"/>
      <c r="K129" s="22"/>
    </row>
    <row r="130">
      <c r="A130" s="22"/>
      <c r="B130" s="22"/>
      <c r="C130" s="22"/>
      <c r="D130" s="22"/>
      <c r="E130" s="22"/>
      <c r="F130" s="22"/>
      <c r="G130" s="22"/>
      <c r="H130" s="22"/>
      <c r="I130" s="22"/>
      <c r="J130" s="22"/>
      <c r="K130" s="22"/>
    </row>
    <row r="131">
      <c r="A131" s="22"/>
      <c r="B131" s="22"/>
      <c r="C131" s="22"/>
      <c r="D131" s="22"/>
      <c r="E131" s="22"/>
      <c r="F131" s="22"/>
      <c r="G131" s="22"/>
      <c r="H131" s="22"/>
      <c r="I131" s="22"/>
      <c r="J131" s="22"/>
      <c r="K131" s="22"/>
    </row>
    <row r="132">
      <c r="A132" s="22"/>
      <c r="B132" s="22"/>
      <c r="C132" s="22"/>
      <c r="D132" s="22"/>
      <c r="E132" s="22"/>
      <c r="F132" s="22"/>
      <c r="G132" s="22"/>
      <c r="H132" s="22"/>
      <c r="I132" s="22"/>
      <c r="J132" s="22"/>
      <c r="K132" s="22"/>
    </row>
    <row r="133">
      <c r="A133" s="22"/>
      <c r="B133" s="22"/>
      <c r="C133" s="22"/>
      <c r="D133" s="22"/>
      <c r="E133" s="22"/>
      <c r="F133" s="22"/>
      <c r="G133" s="22"/>
      <c r="H133" s="22"/>
      <c r="I133" s="22"/>
      <c r="J133" s="22"/>
      <c r="K133" s="22"/>
    </row>
    <row r="134">
      <c r="A134" s="22"/>
      <c r="B134" s="22"/>
      <c r="C134" s="22"/>
      <c r="D134" s="22"/>
      <c r="E134" s="22"/>
      <c r="F134" s="22"/>
      <c r="G134" s="22"/>
      <c r="H134" s="22"/>
      <c r="I134" s="22"/>
      <c r="J134" s="22"/>
      <c r="K134" s="22"/>
    </row>
    <row r="135">
      <c r="A135" s="22"/>
      <c r="B135" s="22"/>
      <c r="C135" s="22"/>
      <c r="D135" s="22"/>
      <c r="E135" s="22"/>
      <c r="F135" s="22"/>
      <c r="G135" s="22"/>
      <c r="H135" s="22"/>
      <c r="I135" s="22"/>
      <c r="J135" s="22"/>
      <c r="K135" s="22"/>
    </row>
    <row r="136">
      <c r="A136" s="22"/>
      <c r="B136" s="22"/>
      <c r="C136" s="22"/>
      <c r="D136" s="22"/>
      <c r="E136" s="22"/>
      <c r="F136" s="22"/>
      <c r="G136" s="22"/>
      <c r="H136" s="22"/>
      <c r="I136" s="22"/>
      <c r="J136" s="22"/>
      <c r="K136" s="22"/>
    </row>
    <row r="137">
      <c r="A137" s="22"/>
      <c r="B137" s="22"/>
      <c r="C137" s="22"/>
      <c r="D137" s="22"/>
      <c r="E137" s="22"/>
      <c r="F137" s="22"/>
      <c r="G137" s="22"/>
      <c r="H137" s="22"/>
      <c r="I137" s="22"/>
      <c r="J137" s="22"/>
      <c r="K137" s="22"/>
    </row>
    <row r="138">
      <c r="A138" s="22"/>
      <c r="B138" s="22"/>
      <c r="C138" s="22"/>
      <c r="D138" s="22"/>
      <c r="E138" s="22"/>
      <c r="F138" s="22"/>
      <c r="G138" s="22"/>
      <c r="H138" s="22"/>
      <c r="I138" s="22"/>
      <c r="J138" s="22"/>
      <c r="K138" s="22"/>
    </row>
    <row r="139">
      <c r="A139" s="22"/>
      <c r="B139" s="22"/>
      <c r="C139" s="22"/>
      <c r="D139" s="22"/>
      <c r="E139" s="22"/>
      <c r="F139" s="22"/>
      <c r="G139" s="22"/>
      <c r="H139" s="22"/>
      <c r="I139" s="22"/>
      <c r="J139" s="22"/>
      <c r="K139" s="22"/>
    </row>
    <row r="140">
      <c r="A140" s="22"/>
      <c r="B140" s="22"/>
      <c r="C140" s="22"/>
      <c r="D140" s="22"/>
      <c r="E140" s="22"/>
      <c r="F140" s="22"/>
      <c r="G140" s="22"/>
      <c r="H140" s="22"/>
      <c r="I140" s="22"/>
      <c r="J140" s="22"/>
      <c r="K140" s="22"/>
    </row>
    <row r="141">
      <c r="A141" s="22"/>
      <c r="B141" s="22"/>
      <c r="C141" s="22"/>
      <c r="D141" s="22"/>
      <c r="E141" s="22"/>
      <c r="F141" s="22"/>
      <c r="G141" s="22"/>
      <c r="H141" s="22"/>
      <c r="I141" s="22"/>
      <c r="J141" s="22"/>
      <c r="K141" s="22"/>
    </row>
  </sheetData>
  <dataValidations>
    <dataValidation type="list" allowBlank="1" showDropDown="1" showErrorMessage="1" sqref="A2:A90">
      <formula1>"F1,F2,F3,F4,F5,SF1,SF2"</formula1>
    </dataValidation>
    <dataValidation type="custom" allowBlank="1" showDropDown="1" sqref="C2:C90">
      <formula1>AND(ISNUMBER(C2),(NOT(OR(NOT(ISERROR(DATEVALUE(C2))), AND(ISNUMBER(C2), LEFT(CELL("format", C2))="D")))))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1614</v>
      </c>
      <c r="B1" s="35" t="s">
        <v>1615</v>
      </c>
    </row>
    <row r="2">
      <c r="A2" s="35" t="s">
        <v>18</v>
      </c>
      <c r="B2" s="35" t="s">
        <v>1616</v>
      </c>
    </row>
    <row r="3">
      <c r="A3" s="35" t="s">
        <v>39</v>
      </c>
      <c r="B3" s="35" t="s">
        <v>1617</v>
      </c>
    </row>
    <row r="4">
      <c r="A4" s="35" t="s">
        <v>51</v>
      </c>
      <c r="B4" s="35" t="s">
        <v>1618</v>
      </c>
    </row>
    <row r="5">
      <c r="A5" s="35" t="s">
        <v>19</v>
      </c>
      <c r="B5" s="35" t="s">
        <v>1619</v>
      </c>
    </row>
    <row r="6">
      <c r="A6" s="35" t="s">
        <v>23</v>
      </c>
      <c r="B6" s="35" t="s">
        <v>1620</v>
      </c>
    </row>
    <row r="7">
      <c r="A7" s="35" t="s">
        <v>53</v>
      </c>
      <c r="B7" s="35" t="s">
        <v>1621</v>
      </c>
    </row>
    <row r="8">
      <c r="A8" s="35" t="s">
        <v>506</v>
      </c>
      <c r="B8" s="35" t="s">
        <v>1622</v>
      </c>
    </row>
    <row r="9">
      <c r="A9" s="35" t="s">
        <v>539</v>
      </c>
      <c r="B9" s="35" t="s">
        <v>1623</v>
      </c>
    </row>
    <row r="10">
      <c r="A10" s="35" t="s">
        <v>664</v>
      </c>
      <c r="B10" s="35" t="s">
        <v>1624</v>
      </c>
    </row>
    <row r="11">
      <c r="A11" s="35" t="s">
        <v>573</v>
      </c>
      <c r="B11" s="35" t="s">
        <v>1625</v>
      </c>
    </row>
    <row r="12">
      <c r="A12" s="35" t="s">
        <v>579</v>
      </c>
      <c r="B12" s="35" t="s">
        <v>1626</v>
      </c>
    </row>
    <row r="13">
      <c r="A13" s="35" t="s">
        <v>895</v>
      </c>
      <c r="B13" s="35" t="s">
        <v>1627</v>
      </c>
    </row>
    <row r="14">
      <c r="A14" s="35" t="s">
        <v>1138</v>
      </c>
      <c r="B14" s="35" t="s">
        <v>1628</v>
      </c>
    </row>
    <row r="15">
      <c r="A15" s="35" t="s">
        <v>1189</v>
      </c>
      <c r="B15" s="35" t="s">
        <v>1629</v>
      </c>
    </row>
    <row r="16">
      <c r="A16" s="35" t="s">
        <v>1145</v>
      </c>
      <c r="B16" s="35" t="s">
        <v>1630</v>
      </c>
    </row>
    <row r="17">
      <c r="A17" s="35" t="s">
        <v>1151</v>
      </c>
      <c r="B17" s="35" t="s">
        <v>1631</v>
      </c>
    </row>
    <row r="18">
      <c r="A18" s="35" t="s">
        <v>1356</v>
      </c>
      <c r="B18" s="35" t="s">
        <v>1632</v>
      </c>
    </row>
    <row r="19">
      <c r="A19" s="35" t="s">
        <v>1547</v>
      </c>
      <c r="B19" s="35" t="s">
        <v>1633</v>
      </c>
    </row>
    <row r="20">
      <c r="A20" s="35" t="s">
        <v>892</v>
      </c>
      <c r="B20" s="35" t="s">
        <v>1634</v>
      </c>
    </row>
    <row r="21">
      <c r="A21" s="35" t="s">
        <v>899</v>
      </c>
      <c r="B21" s="35" t="s">
        <v>1635</v>
      </c>
    </row>
    <row r="22">
      <c r="A22" s="35" t="s">
        <v>570</v>
      </c>
      <c r="B22" s="35" t="s">
        <v>1636</v>
      </c>
    </row>
    <row r="23">
      <c r="A23" s="35" t="s">
        <v>583</v>
      </c>
      <c r="B23" s="35" t="s">
        <v>1637</v>
      </c>
    </row>
    <row r="24">
      <c r="A24" s="35" t="s">
        <v>590</v>
      </c>
      <c r="B24" s="35" t="s">
        <v>1638</v>
      </c>
    </row>
    <row r="25">
      <c r="A25" s="35" t="s">
        <v>15</v>
      </c>
      <c r="B25" s="35" t="s">
        <v>1639</v>
      </c>
    </row>
    <row r="26">
      <c r="A26" s="35" t="s">
        <v>108</v>
      </c>
      <c r="B26" s="35" t="s">
        <v>1640</v>
      </c>
    </row>
    <row r="27">
      <c r="A27" s="35" t="s">
        <v>193</v>
      </c>
      <c r="B27" s="35" t="s">
        <v>1641</v>
      </c>
    </row>
    <row r="28">
      <c r="A28" s="35" t="s">
        <v>1642</v>
      </c>
      <c r="B28" s="35" t="s">
        <v>1643</v>
      </c>
    </row>
    <row r="29">
      <c r="A29" s="35" t="s">
        <v>307</v>
      </c>
      <c r="B29" s="35" t="s">
        <v>1644</v>
      </c>
    </row>
    <row r="30">
      <c r="A30" s="35" t="s">
        <v>594</v>
      </c>
      <c r="B30" s="35" t="s">
        <v>1645</v>
      </c>
    </row>
    <row r="31">
      <c r="A31" s="35" t="s">
        <v>598</v>
      </c>
      <c r="B31" s="35" t="s">
        <v>1646</v>
      </c>
    </row>
    <row r="32">
      <c r="A32" s="35" t="s">
        <v>607</v>
      </c>
      <c r="B32" s="35" t="s">
        <v>1647</v>
      </c>
    </row>
    <row r="33">
      <c r="A33" s="35" t="s">
        <v>872</v>
      </c>
      <c r="B33" s="35" t="s">
        <v>1648</v>
      </c>
    </row>
    <row r="34">
      <c r="A34" s="35" t="s">
        <v>16</v>
      </c>
      <c r="B34" s="35" t="s">
        <v>1649</v>
      </c>
    </row>
    <row r="35">
      <c r="A35" s="35" t="s">
        <v>75</v>
      </c>
      <c r="B35" s="35" t="s">
        <v>1650</v>
      </c>
    </row>
    <row r="36">
      <c r="A36" s="35" t="s">
        <v>1651</v>
      </c>
      <c r="B36" s="35" t="s">
        <v>1652</v>
      </c>
    </row>
    <row r="37">
      <c r="A37" s="35" t="s">
        <v>57</v>
      </c>
      <c r="B37" s="35" t="s">
        <v>1645</v>
      </c>
    </row>
    <row r="38">
      <c r="A38" s="35" t="s">
        <v>580</v>
      </c>
      <c r="B38" s="35" t="s">
        <v>1653</v>
      </c>
    </row>
    <row r="39">
      <c r="A39" s="35" t="s">
        <v>876</v>
      </c>
      <c r="B39" s="35" t="s">
        <v>1654</v>
      </c>
    </row>
    <row r="40">
      <c r="A40" s="35" t="s">
        <v>69</v>
      </c>
      <c r="B40" s="35" t="s">
        <v>1655</v>
      </c>
    </row>
    <row r="41">
      <c r="A41" s="35" t="s">
        <v>256</v>
      </c>
      <c r="B41" s="35" t="s">
        <v>1656</v>
      </c>
    </row>
    <row r="42">
      <c r="A42" s="35" t="s">
        <v>88</v>
      </c>
      <c r="B42" s="35" t="s">
        <v>1657</v>
      </c>
    </row>
    <row r="43">
      <c r="A43" s="35" t="s">
        <v>114</v>
      </c>
      <c r="B43" s="35" t="s">
        <v>1658</v>
      </c>
    </row>
    <row r="44">
      <c r="A44" s="35" t="s">
        <v>81</v>
      </c>
      <c r="B44" s="35" t="s">
        <v>1659</v>
      </c>
    </row>
    <row r="45">
      <c r="A45" s="35" t="s">
        <v>58</v>
      </c>
      <c r="B45" s="35" t="s">
        <v>1660</v>
      </c>
    </row>
    <row r="46">
      <c r="A46" s="35" t="s">
        <v>221</v>
      </c>
      <c r="B46" s="35" t="s">
        <v>1661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13"/>
    <col customWidth="1" min="2" max="4" width="16.38"/>
    <col customWidth="1" min="5" max="5" width="21.38"/>
    <col customWidth="1" min="6" max="6" width="37.63"/>
  </cols>
  <sheetData>
    <row r="1" ht="25.5" customHeight="1">
      <c r="A1" s="36" t="s">
        <v>1662</v>
      </c>
      <c r="B1" s="37"/>
      <c r="C1" s="37"/>
      <c r="D1" s="37"/>
      <c r="E1" s="37"/>
      <c r="F1" s="37"/>
    </row>
    <row r="2">
      <c r="A2" s="38"/>
      <c r="B2" s="38"/>
      <c r="C2" s="38"/>
      <c r="D2" s="38"/>
      <c r="E2" s="38"/>
      <c r="F2" s="38"/>
    </row>
    <row r="3" ht="22.5" customHeight="1">
      <c r="A3" s="1" t="s">
        <v>1663</v>
      </c>
      <c r="B3" s="1" t="s">
        <v>1664</v>
      </c>
      <c r="C3" s="1" t="s">
        <v>1665</v>
      </c>
      <c r="D3" s="1" t="s">
        <v>1666</v>
      </c>
      <c r="E3" s="1" t="s">
        <v>1667</v>
      </c>
      <c r="F3" s="1" t="s">
        <v>10</v>
      </c>
    </row>
    <row r="4" ht="33.0" customHeight="1">
      <c r="A4" s="32" t="s">
        <v>1668</v>
      </c>
      <c r="B4" s="32" t="s">
        <v>1669</v>
      </c>
      <c r="C4" s="32" t="s">
        <v>1670</v>
      </c>
      <c r="D4" s="32" t="s">
        <v>1671</v>
      </c>
      <c r="E4" s="32" t="s">
        <v>645</v>
      </c>
      <c r="F4" s="32" t="s">
        <v>1672</v>
      </c>
    </row>
    <row r="5" ht="33.0" customHeight="1">
      <c r="A5" s="32" t="s">
        <v>1673</v>
      </c>
      <c r="B5" s="32" t="s">
        <v>1674</v>
      </c>
      <c r="C5" s="32" t="s">
        <v>1675</v>
      </c>
      <c r="D5" s="32" t="s">
        <v>1675</v>
      </c>
      <c r="E5" s="32" t="s">
        <v>645</v>
      </c>
      <c r="F5" s="32" t="s">
        <v>1676</v>
      </c>
    </row>
    <row r="6" ht="33.0" customHeight="1">
      <c r="A6" s="32" t="s">
        <v>1677</v>
      </c>
      <c r="B6" s="32" t="s">
        <v>664</v>
      </c>
      <c r="C6" s="32" t="s">
        <v>664</v>
      </c>
      <c r="D6" s="32" t="s">
        <v>664</v>
      </c>
      <c r="E6" s="32" t="s">
        <v>1678</v>
      </c>
      <c r="F6" s="32" t="s">
        <v>1679</v>
      </c>
    </row>
    <row r="7" ht="33.0" customHeight="1">
      <c r="A7" s="32" t="s">
        <v>1680</v>
      </c>
      <c r="B7" s="32" t="s">
        <v>1681</v>
      </c>
      <c r="C7" s="32" t="s">
        <v>1682</v>
      </c>
      <c r="D7" s="32" t="s">
        <v>1682</v>
      </c>
      <c r="E7" s="32" t="s">
        <v>1683</v>
      </c>
      <c r="F7" s="32" t="s">
        <v>1684</v>
      </c>
    </row>
    <row r="8" ht="33.0" customHeight="1">
      <c r="A8" s="32" t="s">
        <v>1685</v>
      </c>
      <c r="B8" s="32" t="s">
        <v>1681</v>
      </c>
      <c r="C8" s="32" t="s">
        <v>1682</v>
      </c>
      <c r="D8" s="32" t="s">
        <v>1682</v>
      </c>
      <c r="E8" s="32" t="s">
        <v>529</v>
      </c>
      <c r="F8" s="32" t="s">
        <v>1686</v>
      </c>
    </row>
    <row r="9" ht="33.0" customHeight="1">
      <c r="A9" s="32" t="s">
        <v>1687</v>
      </c>
      <c r="B9" s="32" t="s">
        <v>1681</v>
      </c>
      <c r="C9" s="32" t="s">
        <v>1682</v>
      </c>
      <c r="D9" s="32" t="s">
        <v>1682</v>
      </c>
      <c r="E9" s="32" t="s">
        <v>1688</v>
      </c>
      <c r="F9" s="32" t="s">
        <v>1689</v>
      </c>
    </row>
    <row r="10" ht="33.0" customHeight="1">
      <c r="A10" s="32" t="s">
        <v>1690</v>
      </c>
      <c r="B10" s="32" t="s">
        <v>664</v>
      </c>
      <c r="C10" s="32" t="s">
        <v>664</v>
      </c>
      <c r="D10" s="32" t="s">
        <v>664</v>
      </c>
      <c r="E10" s="32" t="s">
        <v>1691</v>
      </c>
      <c r="F10" s="32" t="s">
        <v>1692</v>
      </c>
    </row>
    <row r="11" ht="33.0" customHeight="1">
      <c r="A11" s="32" t="s">
        <v>1693</v>
      </c>
      <c r="B11" s="32" t="s">
        <v>1681</v>
      </c>
      <c r="C11" s="32" t="s">
        <v>1682</v>
      </c>
      <c r="D11" s="32" t="s">
        <v>1682</v>
      </c>
      <c r="E11" s="32" t="s">
        <v>1694</v>
      </c>
      <c r="F11" s="32" t="s">
        <v>626</v>
      </c>
    </row>
    <row r="12" ht="33.0" customHeight="1">
      <c r="A12" s="32" t="s">
        <v>1695</v>
      </c>
      <c r="B12" s="32" t="s">
        <v>1696</v>
      </c>
      <c r="C12" s="32" t="s">
        <v>664</v>
      </c>
      <c r="D12" s="32" t="s">
        <v>664</v>
      </c>
      <c r="E12" s="32" t="s">
        <v>1697</v>
      </c>
      <c r="F12" s="32" t="s">
        <v>1698</v>
      </c>
    </row>
    <row r="13" ht="33.0" customHeight="1">
      <c r="A13" s="32" t="s">
        <v>1699</v>
      </c>
      <c r="B13" s="32" t="s">
        <v>573</v>
      </c>
      <c r="C13" s="32" t="s">
        <v>664</v>
      </c>
      <c r="D13" s="32" t="s">
        <v>664</v>
      </c>
      <c r="E13" s="32" t="s">
        <v>1700</v>
      </c>
      <c r="F13" s="32" t="s">
        <v>1701</v>
      </c>
    </row>
    <row r="14" ht="33.0" customHeight="1">
      <c r="A14" s="32" t="s">
        <v>1702</v>
      </c>
      <c r="B14" s="32" t="s">
        <v>573</v>
      </c>
      <c r="C14" s="32" t="s">
        <v>664</v>
      </c>
      <c r="D14" s="32" t="s">
        <v>1703</v>
      </c>
      <c r="E14" s="32" t="s">
        <v>1704</v>
      </c>
      <c r="F14" s="32" t="s">
        <v>1705</v>
      </c>
    </row>
    <row r="15" ht="33.0" customHeight="1">
      <c r="A15" s="32" t="s">
        <v>1706</v>
      </c>
      <c r="B15" s="32" t="s">
        <v>664</v>
      </c>
      <c r="C15" s="32" t="s">
        <v>664</v>
      </c>
      <c r="D15" s="32" t="s">
        <v>664</v>
      </c>
      <c r="E15" s="32" t="s">
        <v>1707</v>
      </c>
      <c r="F15" s="32" t="s">
        <v>1708</v>
      </c>
    </row>
    <row r="16" ht="33.0" customHeight="1">
      <c r="A16" s="32" t="s">
        <v>1709</v>
      </c>
      <c r="B16" s="32" t="s">
        <v>1681</v>
      </c>
      <c r="C16" s="32" t="s">
        <v>1682</v>
      </c>
      <c r="D16" s="32" t="s">
        <v>1710</v>
      </c>
      <c r="E16" s="32" t="s">
        <v>750</v>
      </c>
      <c r="F16" s="32" t="s">
        <v>1711</v>
      </c>
    </row>
    <row r="17" ht="33.0" customHeight="1">
      <c r="A17" s="32" t="s">
        <v>1712</v>
      </c>
      <c r="B17" s="32" t="s">
        <v>1713</v>
      </c>
      <c r="C17" s="32" t="s">
        <v>1713</v>
      </c>
      <c r="D17" s="32" t="s">
        <v>664</v>
      </c>
      <c r="E17" s="32" t="s">
        <v>1714</v>
      </c>
      <c r="F17" s="32" t="s">
        <v>1715</v>
      </c>
    </row>
    <row r="18" ht="33.0" customHeight="1">
      <c r="A18" s="32" t="s">
        <v>1716</v>
      </c>
      <c r="B18" s="32" t="s">
        <v>573</v>
      </c>
      <c r="C18" s="32" t="s">
        <v>573</v>
      </c>
      <c r="D18" s="32" t="s">
        <v>1717</v>
      </c>
      <c r="E18" s="32" t="s">
        <v>1718</v>
      </c>
      <c r="F18" s="32" t="s">
        <v>1719</v>
      </c>
    </row>
    <row r="19" ht="33.0" customHeight="1">
      <c r="A19" s="32" t="s">
        <v>1720</v>
      </c>
      <c r="B19" s="32" t="s">
        <v>1721</v>
      </c>
      <c r="C19" s="32" t="s">
        <v>1681</v>
      </c>
      <c r="D19" s="32" t="s">
        <v>1682</v>
      </c>
      <c r="E19" s="32" t="s">
        <v>1722</v>
      </c>
      <c r="F19" s="32" t="s">
        <v>1723</v>
      </c>
    </row>
    <row r="20" ht="33.0" customHeight="1">
      <c r="A20" s="32" t="s">
        <v>1724</v>
      </c>
      <c r="B20" s="32" t="s">
        <v>573</v>
      </c>
      <c r="C20" s="32" t="s">
        <v>1725</v>
      </c>
      <c r="D20" s="32" t="s">
        <v>1682</v>
      </c>
      <c r="E20" s="32" t="s">
        <v>1726</v>
      </c>
      <c r="F20" s="32" t="s">
        <v>1727</v>
      </c>
    </row>
    <row r="21" ht="33.0" customHeight="1">
      <c r="A21" s="32" t="s">
        <v>1728</v>
      </c>
      <c r="B21" s="32" t="s">
        <v>1681</v>
      </c>
      <c r="C21" s="32" t="s">
        <v>1682</v>
      </c>
      <c r="D21" s="32" t="s">
        <v>1682</v>
      </c>
      <c r="E21" s="32" t="s">
        <v>1729</v>
      </c>
      <c r="F21" s="32" t="s">
        <v>1730</v>
      </c>
    </row>
    <row r="22" ht="33.0" customHeight="1">
      <c r="A22" s="32" t="s">
        <v>1731</v>
      </c>
      <c r="B22" s="32" t="s">
        <v>573</v>
      </c>
      <c r="C22" s="32" t="s">
        <v>1732</v>
      </c>
      <c r="D22" s="32" t="s">
        <v>664</v>
      </c>
      <c r="E22" s="32" t="s">
        <v>381</v>
      </c>
      <c r="F22" s="32" t="s">
        <v>1733</v>
      </c>
    </row>
    <row r="23" ht="33.0" customHeight="1">
      <c r="A23" s="32" t="s">
        <v>1734</v>
      </c>
      <c r="B23" s="32" t="s">
        <v>573</v>
      </c>
      <c r="C23" s="32" t="s">
        <v>573</v>
      </c>
      <c r="D23" s="32" t="s">
        <v>1735</v>
      </c>
      <c r="E23" s="32" t="s">
        <v>1736</v>
      </c>
      <c r="F23" s="32" t="s">
        <v>1737</v>
      </c>
    </row>
    <row r="24" ht="33.0" customHeight="1">
      <c r="A24" s="32" t="s">
        <v>1738</v>
      </c>
      <c r="B24" s="32" t="s">
        <v>1739</v>
      </c>
      <c r="C24" s="32" t="s">
        <v>1740</v>
      </c>
      <c r="D24" s="32" t="s">
        <v>1741</v>
      </c>
      <c r="E24" s="32" t="s">
        <v>1742</v>
      </c>
      <c r="F24" s="32" t="s">
        <v>655</v>
      </c>
    </row>
    <row r="25" ht="22.5" customHeight="1">
      <c r="A25" s="24" t="s">
        <v>1743</v>
      </c>
      <c r="B25" s="24" t="s">
        <v>1744</v>
      </c>
      <c r="C25" s="24" t="s">
        <v>1745</v>
      </c>
      <c r="D25" s="24" t="s">
        <v>1746</v>
      </c>
      <c r="E25" s="24" t="s">
        <v>1747</v>
      </c>
      <c r="F25" s="24" t="s">
        <v>1748</v>
      </c>
    </row>
    <row r="26" ht="22.5" customHeight="1">
      <c r="A26" s="24" t="s">
        <v>1749</v>
      </c>
      <c r="B26" s="24" t="s">
        <v>1750</v>
      </c>
      <c r="C26" s="24" t="s">
        <v>1751</v>
      </c>
      <c r="D26" s="24" t="s">
        <v>1751</v>
      </c>
      <c r="E26" s="24" t="s">
        <v>1752</v>
      </c>
      <c r="F26" s="24" t="s">
        <v>1753</v>
      </c>
    </row>
    <row r="27" ht="22.5" customHeight="1">
      <c r="A27" s="24" t="s">
        <v>1754</v>
      </c>
      <c r="B27" s="24" t="s">
        <v>1755</v>
      </c>
      <c r="C27" s="24" t="s">
        <v>1755</v>
      </c>
      <c r="D27" s="24" t="s">
        <v>1755</v>
      </c>
      <c r="E27" s="24" t="s">
        <v>692</v>
      </c>
      <c r="F27" s="24" t="s">
        <v>1756</v>
      </c>
    </row>
    <row r="28" ht="22.5" customHeight="1">
      <c r="A28" s="24" t="s">
        <v>1757</v>
      </c>
      <c r="B28" s="24" t="s">
        <v>1758</v>
      </c>
      <c r="C28" s="24" t="s">
        <v>1758</v>
      </c>
      <c r="D28" s="24" t="s">
        <v>1758</v>
      </c>
      <c r="E28" s="24" t="s">
        <v>645</v>
      </c>
      <c r="F28" s="24" t="s">
        <v>1759</v>
      </c>
    </row>
    <row r="29" ht="22.5" customHeight="1">
      <c r="A29" s="24" t="s">
        <v>1760</v>
      </c>
      <c r="B29" s="24" t="s">
        <v>1761</v>
      </c>
      <c r="C29" s="24" t="s">
        <v>1762</v>
      </c>
      <c r="D29" s="24" t="s">
        <v>1763</v>
      </c>
      <c r="E29" s="24" t="s">
        <v>1764</v>
      </c>
      <c r="F29" s="24" t="s">
        <v>1765</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8C3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8.75"/>
    <col customWidth="1" min="5" max="5" width="31.88"/>
    <col customWidth="1" min="6" max="6" width="37.63"/>
    <col customWidth="1" min="10" max="10" width="36.0"/>
    <col customWidth="1" min="11" max="11" width="37.63"/>
    <col customWidth="1" min="12" max="12" width="20.88"/>
  </cols>
  <sheetData>
    <row r="1" ht="22.5" customHeight="1">
      <c r="A1" s="39" t="s">
        <v>1766</v>
      </c>
      <c r="B1" s="39" t="s">
        <v>1767</v>
      </c>
      <c r="C1" s="39" t="s">
        <v>1622</v>
      </c>
      <c r="D1" s="39" t="s">
        <v>3</v>
      </c>
      <c r="E1" s="39" t="s">
        <v>1768</v>
      </c>
      <c r="F1" s="39" t="s">
        <v>1769</v>
      </c>
      <c r="G1" s="39" t="s">
        <v>1770</v>
      </c>
      <c r="H1" s="39" t="s">
        <v>1771</v>
      </c>
      <c r="I1" s="39" t="s">
        <v>1772</v>
      </c>
      <c r="J1" s="39" t="s">
        <v>1773</v>
      </c>
      <c r="K1" s="39" t="s">
        <v>1774</v>
      </c>
      <c r="L1" s="39" t="s">
        <v>1775</v>
      </c>
    </row>
    <row r="2" ht="22.5" customHeight="1">
      <c r="A2" s="40" t="str">
        <f>IF('Use Case Tracker'!A2="","",'Use Case Tracker'!A2)</f>
        <v>UC01</v>
      </c>
      <c r="B2" s="40" t="str">
        <f>IFERROR(__xludf.DUMMYFUNCTION("IF('Use Case Tracker'!B2="""","""",IFERROR(GOOGLETRANSLATE('Use Case Tracker'!B2,""en"",""vi""),'Use Case Tracker'!B2))"),"Quản lý gói đăng ký và quyền truy cập tính năng")</f>
        <v>Quản lý gói đăng ký và quyền truy cập tính năng</v>
      </c>
      <c r="C2" s="40" t="str">
        <f>IFERROR(__xludf.DUMMYFUNCTION("IF('Use Case Tracker'!C2="""","""",IFERROR(GOOGLETRANSLATE('Use Case Tracker'!C2,""en"",""vi""),'Use Case Tracker'!C2))"),"Hỗ trợ quản trị/Docker")</f>
        <v>Hỗ trợ quản trị/Docker</v>
      </c>
      <c r="D2" s="40" t="str">
        <f>IFERROR(__xludf.DUMMYFUNCTION("IF('Use Case Tracker'!D2="""","""",IFERROR(GOOGLETRANSLATE('Use Case Tracker'!D2,""en"",""vi""),'Use Case Tracker'!D2))"),"Đăng ký")</f>
        <v>Đăng ký</v>
      </c>
      <c r="E2" s="40" t="str">
        <f>IFERROR(__xludf.DUMMYFUNCTION("IF('Use Case Tracker'!E2="""","""",IFERROR(GOOGLETRANSLATE('Use Case Tracker'!E2,""en"",""vi""),'Use Case Tracker'!E2))"),"Quản trị viên")</f>
        <v>Quản trị viên</v>
      </c>
      <c r="F2" s="40" t="str">
        <f>IFERROR(__xludf.DUMMYFUNCTION("IF('Use Case Tracker'!F2="""","""",IFERROR(GOOGLETRANSLATE('Use Case Tracker'!F2,""en"",""vi""),'Use Case Tracker'!F2))"),"Quản trị viên tạo/cập nhật/vô hiệu hóa các gói Miễn phí, Plus và Premium. Các gói trả phí chỉ được tính phí hàng năm. Mỗi gói xác định giá hàng năm và quyền truy cập vào các tính năng như báo cáo tài chính, phân tích AI, tính năng an toàn SOS, hỗ trợ thiế"&amp;"t bị đeo, khả năng lưu trữ và xuất dữ liệu.")</f>
        <v>Quản trị viên tạo/cập nhật/vô hiệu hóa các gói Miễn phí, Plus và Premium. Các gói trả phí chỉ được tính phí hàng năm. Mỗi gói xác định giá hàng năm và quyền truy cập vào các tính năng như báo cáo tài chính, phân tích AI, tính năng an toàn SOS, hỗ trợ thiết bị đeo, khả năng lưu trữ và xuất dữ liệu.</v>
      </c>
      <c r="G2" s="40" t="str">
        <f>IF('Use Case Tracker'!G2="","",SWITCH('Use Case Tracker'!G2,"Must-have","Bắt buộc","Should-have","Nên có","Could-have","Có thể có",'Use Case Tracker'!G2))</f>
        <v>Bắt buộc</v>
      </c>
      <c r="H2" s="40" t="str">
        <f>IF('Use Case Tracker'!H2="","",SWITCH('Use Case Tracker'!H2,"Not Started","Chưa bắt đầu","In Progress","Đang làm","Done","Hoàn thành",'Use Case Tracker'!H2))</f>
        <v>Chưa bắt đầu</v>
      </c>
      <c r="L2" s="40" t="str">
        <f>IF('Use Case Tracker'!L2="","",SWITCH('Use Case Tracker'!L2,"Keep","Giữ trong scope","Could-have / Do after core","Có thể có / Làm sau core",'Use Case Tracker'!L2))</f>
        <v>Giữ trong scope</v>
      </c>
    </row>
    <row r="3" ht="22.5" customHeight="1">
      <c r="A3" s="40" t="str">
        <f>IF('Use Case Tracker'!A3="","",'Use Case Tracker'!A3)</f>
        <v>UC02</v>
      </c>
      <c r="B3" s="40" t="str">
        <f>IFERROR(__xludf.DUMMYFUNCTION("IF('Use Case Tracker'!B3="""","""",IFERROR(GOOGLETRANSLATE('Use Case Tracker'!B3,""en"",""vi""),'Use Case Tracker'!B3))"),"Quản lý không gian làm việc gia đình và trạng thái đăng ký")</f>
        <v>Quản lý không gian làm việc gia đình và trạng thái đăng ký</v>
      </c>
      <c r="C3" s="40" t="str">
        <f>IFERROR(__xludf.DUMMYFUNCTION("IF('Use Case Tracker'!C3="""","""",IFERROR(GOOGLETRANSLATE('Use Case Tracker'!C3,""en"",""vi""),'Use Case Tracker'!C3))"),"Hỗ trợ quản trị/Docker")</f>
        <v>Hỗ trợ quản trị/Docker</v>
      </c>
      <c r="D3" s="40" t="str">
        <f>IFERROR(__xludf.DUMMYFUNCTION("IF('Use Case Tracker'!D3="""","""",IFERROR(GOOGLETRANSLATE('Use Case Tracker'!D3,""en"",""vi""),'Use Case Tracker'!D3))"),"Quản trị viên")</f>
        <v>Quản trị viên</v>
      </c>
      <c r="E3" s="40" t="str">
        <f>IFERROR(__xludf.DUMMYFUNCTION("IF('Use Case Tracker'!E3="""","""",IFERROR(GOOGLETRANSLATE('Use Case Tracker'!E3,""en"",""vi""),'Use Case Tracker'!E3))"),"Quản trị viên")</f>
        <v>Quản trị viên</v>
      </c>
      <c r="F3" s="40" t="str">
        <f>IFERROR(__xludf.DUMMYFUNCTION("IF('Use Case Tracker'!F3="""","""",IFERROR(GOOGLETRANSLATE('Use Case Tracker'!F3,""en"",""vi""),'Use Case Tracker'!F3))"),"Quản trị viên xem không gian làm việc, Trình quản lý Gia đình chính, trạng thái đăng ký và kích hoạt.")</f>
        <v>Quản trị viên xem không gian làm việc, Trình quản lý Gia đình chính, trạng thái đăng ký và kích hoạt.</v>
      </c>
      <c r="G3" s="40" t="str">
        <f>IF('Use Case Tracker'!G3="","",SWITCH('Use Case Tracker'!G3,"Must-have","Bắt buộc","Should-have","Nên có","Could-have","Có thể có",'Use Case Tracker'!G3))</f>
        <v>Bắt buộc</v>
      </c>
      <c r="H3" s="40" t="str">
        <f>IF('Use Case Tracker'!H3="","",SWITCH('Use Case Tracker'!H3,"Not Started","Chưa bắt đầu","In Progress","Đang làm","Done","Hoàn thành",'Use Case Tracker'!H3))</f>
        <v>Chưa bắt đầu</v>
      </c>
      <c r="I3" s="40" t="str">
        <f>IF('Use Case Tracker'!I3="","",'Use Case Tracker'!I3)</f>
        <v/>
      </c>
      <c r="J3" s="40" t="str">
        <f>IF('Use Case Tracker'!J3="","",'Use Case Tracker'!J3)</f>
        <v>BR-SUB-01, BR-WS-02</v>
      </c>
      <c r="K3" s="40" t="str">
        <f>IFERROR(__xludf.DUMMYFUNCTION("IF('Use Case Tracker'!K3="""","""",IFERROR(GOOGLETRANSLATE('Use Case Tracker'!K3,""en"",""vi""),'Use Case Tracker'!K3))"),"")</f>
        <v/>
      </c>
      <c r="L3" s="40" t="str">
        <f>IF('Use Case Tracker'!L3="","",SWITCH('Use Case Tracker'!L3,"Keep","Giữ trong scope","Could-have / Do after core","Có thể có / Làm sau core",'Use Case Tracker'!L3))</f>
        <v>Giữ trong scope</v>
      </c>
    </row>
    <row r="4" ht="22.5" customHeight="1">
      <c r="A4" s="40" t="str">
        <f>IF('Use Case Tracker'!A4="","",'Use Case Tracker'!A4)</f>
        <v>UC03</v>
      </c>
      <c r="B4" s="40" t="str">
        <f>IFERROR(__xludf.DUMMYFUNCTION("IF('Use Case Tracker'!B4="""","""",IFERROR(GOOGLETRANSLATE('Use Case Tracker'!B4,""en"",""vi""),'Use Case Tracker'!B4))"),"Quản lý quyền truy cập tài khoản người dùng")</f>
        <v>Quản lý quyền truy cập tài khoản người dùng</v>
      </c>
      <c r="C4" s="40" t="str">
        <f>IFERROR(__xludf.DUMMYFUNCTION("IF('Use Case Tracker'!C4="""","""",IFERROR(GOOGLETRANSLATE('Use Case Tracker'!C4,""en"",""vi""),'Use Case Tracker'!C4))"),"Hỗ trợ quản trị/Docker")</f>
        <v>Hỗ trợ quản trị/Docker</v>
      </c>
      <c r="D4" s="40" t="str">
        <f>IFERROR(__xludf.DUMMYFUNCTION("IF('Use Case Tracker'!D4="""","""",IFERROR(GOOGLETRANSLATE('Use Case Tracker'!D4,""en"",""vi""),'Use Case Tracker'!D4))"),"Quản trị viên")</f>
        <v>Quản trị viên</v>
      </c>
      <c r="E4" s="40" t="str">
        <f>IFERROR(__xludf.DUMMYFUNCTION("IF('Use Case Tracker'!E4="""","""",IFERROR(GOOGLETRANSLATE('Use Case Tracker'!E4,""en"",""vi""),'Use Case Tracker'!E4))"),"Quản trị viên")</f>
        <v>Quản trị viên</v>
      </c>
      <c r="F4" s="40" t="str">
        <f>IFERROR(__xludf.DUMMYFUNCTION("IF('Use Case Tracker'!F4="""","""",IFERROR(GOOGLETRANSLATE('Use Case Tracker'!F4,""en"",""vi""),'Use Case Tracker'!F4))"),"Quản trị viên có thể khóa/mở khóa/hạn chế/khôi phục quyền truy cập của người dùng khi cần thiết.")</f>
        <v>Quản trị viên có thể khóa/mở khóa/hạn chế/khôi phục quyền truy cập của người dùng khi cần thiết.</v>
      </c>
      <c r="G4" s="40" t="str">
        <f>IF('Use Case Tracker'!G4="","",SWITCH('Use Case Tracker'!G4,"Must-have","Bắt buộc","Should-have","Nên có","Could-have","Có thể có",'Use Case Tracker'!G4))</f>
        <v>Bắt buộc</v>
      </c>
      <c r="H4" s="40" t="str">
        <f>IF('Use Case Tracker'!H4="","",SWITCH('Use Case Tracker'!H4,"Not Started","Chưa bắt đầu","In Progress","Đang làm","Done","Hoàn thành",'Use Case Tracker'!H4))</f>
        <v>Chưa bắt đầu</v>
      </c>
      <c r="I4" s="40" t="str">
        <f>IF('Use Case Tracker'!I4="","",'Use Case Tracker'!I4)</f>
        <v/>
      </c>
      <c r="J4" s="40" t="str">
        <f>IF('Use Case Tracker'!J4="","",'Use Case Tracker'!J4)</f>
        <v>BR-ADM-01, BR-AUTH-02</v>
      </c>
      <c r="K4" s="40" t="str">
        <f>IFERROR(__xludf.DUMMYFUNCTION("IF('Use Case Tracker'!K4="""","""",IFERROR(GOOGLETRANSLATE('Use Case Tracker'!K4,""en"",""vi""),'Use Case Tracker'!K4))"),"")</f>
        <v/>
      </c>
      <c r="L4" s="40" t="str">
        <f>IF('Use Case Tracker'!L4="","",SWITCH('Use Case Tracker'!L4,"Keep","Giữ trong scope","Could-have / Do after core","Có thể có / Làm sau core",'Use Case Tracker'!L4))</f>
        <v>Giữ trong scope</v>
      </c>
    </row>
    <row r="5" ht="22.5" customHeight="1">
      <c r="A5" s="40" t="str">
        <f>IF('Use Case Tracker'!A5="","",'Use Case Tracker'!A5)</f>
        <v>UC04</v>
      </c>
      <c r="B5" s="40" t="str">
        <f>IFERROR(__xludf.DUMMYFUNCTION("IF('Use Case Tracker'!B5="""","""",IFERROR(GOOGLETRANSLATE('Use Case Tracker'!B5,""en"",""vi""),'Use Case Tracker'!B5))"),"Giám sát trạng thái kích hoạt không gian làm việc")</f>
        <v>Giám sát trạng thái kích hoạt không gian làm việc</v>
      </c>
      <c r="C5" s="40" t="str">
        <f>IFERROR(__xludf.DUMMYFUNCTION("IF('Use Case Tracker'!C5="""","""",IFERROR(GOOGLETRANSLATE('Use Case Tracker'!C5,""en"",""vi""),'Use Case Tracker'!C5))"),"Hỗ trợ quản trị/Docker")</f>
        <v>Hỗ trợ quản trị/Docker</v>
      </c>
      <c r="D5" s="40" t="str">
        <f>IFERROR(__xludf.DUMMYFUNCTION("IF('Use Case Tracker'!D5="""","""",IFERROR(GOOGLETRANSLATE('Use Case Tracker'!D5,""en"",""vi""),'Use Case Tracker'!D5))"),"Quản trị viên")</f>
        <v>Quản trị viên</v>
      </c>
      <c r="E5" s="40" t="str">
        <f>IFERROR(__xludf.DUMMYFUNCTION("IF('Use Case Tracker'!E5="""","""",IFERROR(GOOGLETRANSLATE('Use Case Tracker'!E5,""en"",""vi""),'Use Case Tracker'!E5))"),"Quản trị viên")</f>
        <v>Quản trị viên</v>
      </c>
      <c r="F5" s="40" t="str">
        <f>IFERROR(__xludf.DUMMYFUNCTION("IF('Use Case Tracker'!F5="""","""",IFERROR(GOOGLETRANSLATE('Use Case Tracker'!F5,""en"",""vi""),'Use Case Tracker'!F5))"),"Quản trị viên kiểm tra trạng thái hoạt động/đang chờ xử lý/bị tạm dừng/thất bại/hết hạn của không gian làm việc.")</f>
        <v>Quản trị viên kiểm tra trạng thái hoạt động/đang chờ xử lý/bị tạm dừng/thất bại/hết hạn của không gian làm việc.</v>
      </c>
      <c r="G5" s="40" t="str">
        <f>IF('Use Case Tracker'!G5="","",SWITCH('Use Case Tracker'!G5,"Must-have","Bắt buộc","Should-have","Nên có","Could-have","Có thể có",'Use Case Tracker'!G5))</f>
        <v>Bắt buộc</v>
      </c>
      <c r="H5" s="40" t="str">
        <f>IF('Use Case Tracker'!H5="","",SWITCH('Use Case Tracker'!H5,"Not Started","Chưa bắt đầu","In Progress","Đang làm","Done","Hoàn thành",'Use Case Tracker'!H5))</f>
        <v>Chưa bắt đầu</v>
      </c>
      <c r="I5" s="40" t="str">
        <f>IF('Use Case Tracker'!I5="","",'Use Case Tracker'!I5)</f>
        <v/>
      </c>
      <c r="J5" s="40" t="str">
        <f>IF('Use Case Tracker'!J5="","",'Use Case Tracker'!J5)</f>
        <v>BR-WS-02, BR-DEP-01</v>
      </c>
      <c r="K5" s="40" t="str">
        <f>IFERROR(__xludf.DUMMYFUNCTION("IF('Use Case Tracker'!K5="""","""",IFERROR(GOOGLETRANSLATE('Use Case Tracker'!K5,""en"",""vi""),'Use Case Tracker'!K5))"),"")</f>
        <v/>
      </c>
      <c r="L5" s="40" t="str">
        <f>IF('Use Case Tracker'!L5="","",SWITCH('Use Case Tracker'!L5,"Keep","Giữ trong scope","Could-have / Do after core","Có thể có / Làm sau core",'Use Case Tracker'!L5))</f>
        <v>Giữ trong scope</v>
      </c>
    </row>
    <row r="6" ht="22.5" customHeight="1">
      <c r="A6" s="40" t="str">
        <f>IF('Use Case Tracker'!A6="","",'Use Case Tracker'!A6)</f>
        <v>UC05</v>
      </c>
      <c r="B6" s="40" t="str">
        <f>IFERROR(__xludf.DUMMYFUNCTION("IF('Use Case Tracker'!B6="""","""",IFERROR(GOOGLETRANSLATE('Use Case Tracker'!B6,""en"",""vi""),'Use Case Tracker'!B6))"),"Xem trạng thái dịch vụ cơ bản")</f>
        <v>Xem trạng thái dịch vụ cơ bản</v>
      </c>
      <c r="C6" s="40" t="str">
        <f>IFERROR(__xludf.DUMMYFUNCTION("IF('Use Case Tracker'!C6="""","""",IFERROR(GOOGLETRANSLATE('Use Case Tracker'!C6,""en"",""vi""),'Use Case Tracker'!C6))"),"Hỗ trợ quản trị/Docker")</f>
        <v>Hỗ trợ quản trị/Docker</v>
      </c>
      <c r="D6" s="40" t="str">
        <f>IFERROR(__xludf.DUMMYFUNCTION("IF('Use Case Tracker'!D6="""","""",IFERROR(GOOGLETRANSLATE('Use Case Tracker'!D6,""en"",""vi""),'Use Case Tracker'!D6))"),"Quản trị viên")</f>
        <v>Quản trị viên</v>
      </c>
      <c r="E6" s="40" t="str">
        <f>IFERROR(__xludf.DUMMYFUNCTION("IF('Use Case Tracker'!E6="""","""",IFERROR(GOOGLETRANSLATE('Use Case Tracker'!E6,""en"",""vi""),'Use Case Tracker'!E6))"),"Quản trị viên")</f>
        <v>Quản trị viên</v>
      </c>
      <c r="F6" s="40" t="str">
        <f>IFERROR(__xludf.DUMMYFUNCTION("IF('Use Case Tracker'!F6="""","""",IFERROR(GOOGLETRANSLATE('Use Case Tracker'!F6,""en"",""vi""),'Use Case Tracker'!F6))"),"Quản trị viên có thể xem trạng thái dịch vụ demo cơ bản như Backend, Admin Web, API và Database.")</f>
        <v>Quản trị viên có thể xem trạng thái dịch vụ demo cơ bản như Backend, Admin Web, API và Database.</v>
      </c>
      <c r="G6" s="40" t="str">
        <f>IF('Use Case Tracker'!G6="","",SWITCH('Use Case Tracker'!G6,"Must-have","Bắt buộc","Should-have","Nên có","Could-have","Có thể có",'Use Case Tracker'!G6))</f>
        <v>Nên có</v>
      </c>
      <c r="H6" s="40" t="str">
        <f>IF('Use Case Tracker'!H6="","",SWITCH('Use Case Tracker'!H6,"Not Started","Chưa bắt đầu","In Progress","Đang làm","Done","Hoàn thành",'Use Case Tracker'!H6))</f>
        <v>Chưa bắt đầu</v>
      </c>
      <c r="I6" s="40" t="str">
        <f>IF('Use Case Tracker'!I6="","",'Use Case Tracker'!I6)</f>
        <v/>
      </c>
      <c r="J6" s="40" t="str">
        <f>IF('Use Case Tracker'!J6="","",'Use Case Tracker'!J6)</f>
        <v>BR-DEP-01, BR-FUT-01</v>
      </c>
      <c r="K6" s="40" t="str">
        <f>IFERROR(__xludf.DUMMYFUNCTION("IF('Use Case Tracker'!K6="""","""",IFERROR(GOOGLETRANSLATE('Use Case Tracker'!K6,""en"",""vi""),'Use Case Tracker'!K6))"),"")</f>
        <v/>
      </c>
      <c r="L6" s="40" t="str">
        <f>IF('Use Case Tracker'!L6="","",SWITCH('Use Case Tracker'!L6,"Keep","Giữ trong scope","Could-have / Do after core","Có thể có / Làm sau core",'Use Case Tracker'!L6))</f>
        <v>Giữ trong scope</v>
      </c>
    </row>
    <row r="7" ht="22.5" customHeight="1">
      <c r="A7" s="40" t="str">
        <f>IF('Use Case Tracker'!A7="","",'Use Case Tracker'!A7)</f>
        <v>UC06</v>
      </c>
      <c r="B7" s="40" t="str">
        <f>IFERROR(__xludf.DUMMYFUNCTION("IF('Use Case Tracker'!B7="""","""",IFERROR(GOOGLETRANSLATE('Use Case Tracker'!B7,""en"",""vi""),'Use Case Tracker'!B7))"),"Xem nhật ký cấp phép không gian làm việc")</f>
        <v>Xem nhật ký cấp phép không gian làm việc</v>
      </c>
      <c r="C7" s="40" t="str">
        <f>IFERROR(__xludf.DUMMYFUNCTION("IF('Use Case Tracker'!C7="""","""",IFERROR(GOOGLETRANSLATE('Use Case Tracker'!C7,""en"",""vi""),'Use Case Tracker'!C7))"),"Hỗ trợ quản trị/Docker")</f>
        <v>Hỗ trợ quản trị/Docker</v>
      </c>
      <c r="D7" s="40" t="str">
        <f>IFERROR(__xludf.DUMMYFUNCTION("IF('Use Case Tracker'!D7="""","""",IFERROR(GOOGLETRANSLATE('Use Case Tracker'!D7,""en"",""vi""),'Use Case Tracker'!D7))"),"Quản trị viên")</f>
        <v>Quản trị viên</v>
      </c>
      <c r="E7" s="40" t="str">
        <f>IFERROR(__xludf.DUMMYFUNCTION("IF('Use Case Tracker'!E7="""","""",IFERROR(GOOGLETRANSLATE('Use Case Tracker'!E7,""en"",""vi""),'Use Case Tracker'!E7))"),"Quản trị viên")</f>
        <v>Quản trị viên</v>
      </c>
      <c r="F7" s="40" t="str">
        <f>IFERROR(__xludf.DUMMYFUNCTION("IF('Use Case Tracker'!F7="""","""",IFERROR(GOOGLETRANSLATE('Use Case Tracker'!F7,""en"",""vi""),'Use Case Tracker'!F7))"),"Quản trị viên xem nhật ký cấp phép cơ bản về các lỗi kích hoạt không gian làm việc/khởi động bản demo.")</f>
        <v>Quản trị viên xem nhật ký cấp phép cơ bản về các lỗi kích hoạt không gian làm việc/khởi động bản demo.</v>
      </c>
      <c r="G7" s="40" t="str">
        <f>IF('Use Case Tracker'!G7="","",SWITCH('Use Case Tracker'!G7,"Must-have","Bắt buộc","Should-have","Nên có","Could-have","Có thể có",'Use Case Tracker'!G7))</f>
        <v>Nên có</v>
      </c>
      <c r="H7" s="40" t="str">
        <f>IF('Use Case Tracker'!H7="","",SWITCH('Use Case Tracker'!H7,"Not Started","Chưa bắt đầu","In Progress","Đang làm","Done","Hoàn thành",'Use Case Tracker'!H7))</f>
        <v>Chưa bắt đầu</v>
      </c>
      <c r="J7" s="40" t="str">
        <f>IF('Use Case Tracker'!J7="","",'Use Case Tracker'!J7)</f>
        <v>BR-DEP-01</v>
      </c>
      <c r="K7" s="40" t="str">
        <f>IFERROR(__xludf.DUMMYFUNCTION("IF('Use Case Tracker'!K7="""","""",IFERROR(GOOGLETRANSLATE('Use Case Tracker'!K7,""en"",""vi""),'Use Case Tracker'!K7))"),"")</f>
        <v/>
      </c>
      <c r="L7" s="40" t="str">
        <f>IF('Use Case Tracker'!L7="","",SWITCH('Use Case Tracker'!L7,"Keep","Giữ trong scope","Could-have / Do after core","Có thể có / Làm sau core",'Use Case Tracker'!L7))</f>
        <v>Giữ trong scope</v>
      </c>
    </row>
    <row r="8" ht="22.5" customHeight="1">
      <c r="A8" s="40" t="str">
        <f>IF('Use Case Tracker'!A8="","",'Use Case Tracker'!A8)</f>
        <v>UC07</v>
      </c>
      <c r="B8" s="40" t="str">
        <f>IFERROR(__xludf.DUMMYFUNCTION("IF('Use Case Tracker'!B8="""","""",IFERROR(GOOGLETRANSLATE('Use Case Tracker'!B8,""en"",""vi""),'Use Case Tracker'!B8))"),"Thử lại việc cấp phát không gian làm việc")</f>
        <v>Thử lại việc cấp phát không gian làm việc</v>
      </c>
      <c r="C8" s="40" t="str">
        <f>IFERROR(__xludf.DUMMYFUNCTION("IF('Use Case Tracker'!C8="""","""",IFERROR(GOOGLETRANSLATE('Use Case Tracker'!C8,""en"",""vi""),'Use Case Tracker'!C8))"),"Hỗ trợ quản trị/Docker")</f>
        <v>Hỗ trợ quản trị/Docker</v>
      </c>
      <c r="D8" s="40" t="str">
        <f>IFERROR(__xludf.DUMMYFUNCTION("IF('Use Case Tracker'!D8="""","""",IFERROR(GOOGLETRANSLATE('Use Case Tracker'!D8,""en"",""vi""),'Use Case Tracker'!D8))"),"Quản trị viên")</f>
        <v>Quản trị viên</v>
      </c>
      <c r="E8" s="40" t="str">
        <f>IFERROR(__xludf.DUMMYFUNCTION("IF('Use Case Tracker'!E8="""","""",IFERROR(GOOGLETRANSLATE('Use Case Tracker'!E8,""en"",""vi""),'Use Case Tracker'!E8))"),"Quản trị viên")</f>
        <v>Quản trị viên</v>
      </c>
      <c r="F8" s="40" t="str">
        <f>IFERROR(__xludf.DUMMYFUNCTION("IF('Use Case Tracker'!F8="""","""",IFERROR(GOOGLETRANSLATE('Use Case Tracker'!F8,""en"",""vi""),'Use Case Tracker'!F8))"),"Quản trị viên sẽ thử lại quá trình kích hoạt/cung cấp không gian làm việc khi thiết lập bản demo thất bại.")</f>
        <v>Quản trị viên sẽ thử lại quá trình kích hoạt/cung cấp không gian làm việc khi thiết lập bản demo thất bại.</v>
      </c>
      <c r="G8" s="40" t="str">
        <f>IF('Use Case Tracker'!G8="","",SWITCH('Use Case Tracker'!G8,"Must-have","Bắt buộc","Should-have","Nên có","Could-have","Có thể có",'Use Case Tracker'!G8))</f>
        <v>Nên có</v>
      </c>
      <c r="H8" s="40" t="str">
        <f>IF('Use Case Tracker'!H8="","",SWITCH('Use Case Tracker'!H8,"Not Started","Chưa bắt đầu","In Progress","Đang làm","Done","Hoàn thành",'Use Case Tracker'!H8))</f>
        <v>Chưa bắt đầu</v>
      </c>
      <c r="J8" s="40" t="str">
        <f>IF('Use Case Tracker'!J8="","",'Use Case Tracker'!J8)</f>
        <v>BR-DEP-01</v>
      </c>
      <c r="K8" s="40" t="str">
        <f>IFERROR(__xludf.DUMMYFUNCTION("IF('Use Case Tracker'!K8="""","""",IFERROR(GOOGLETRANSLATE('Use Case Tracker'!K8,""en"",""vi""),'Use Case Tracker'!K8))"),"")</f>
        <v/>
      </c>
      <c r="L8" s="40" t="str">
        <f>IF('Use Case Tracker'!L8="","",SWITCH('Use Case Tracker'!L8,"Keep","Giữ trong scope","Could-have / Do after core","Có thể có / Làm sau core",'Use Case Tracker'!L8))</f>
        <v>Giữ trong scope</v>
      </c>
    </row>
    <row r="9" ht="22.5" customHeight="1">
      <c r="A9" s="40" t="str">
        <f>IF('Use Case Tracker'!A9="","",'Use Case Tracker'!A9)</f>
        <v>UC08</v>
      </c>
      <c r="B9" s="40" t="str">
        <f>IFERROR(__xludf.DUMMYFUNCTION("IF('Use Case Tracker'!B9="""","""",IFERROR(GOOGLETRANSLATE('Use Case Tracker'!B9,""en"",""vi""),'Use Case Tracker'!B9))"),"Xem tóm tắt gói đăng ký cơ bản")</f>
        <v>Xem tóm tắt gói đăng ký cơ bản</v>
      </c>
      <c r="C9" s="40" t="str">
        <f>IFERROR(__xludf.DUMMYFUNCTION("IF('Use Case Tracker'!C9="""","""",IFERROR(GOOGLETRANSLATE('Use Case Tracker'!C9,""en"",""vi""),'Use Case Tracker'!C9))"),"Hỗ trợ quản trị/Docker")</f>
        <v>Hỗ trợ quản trị/Docker</v>
      </c>
      <c r="D9" s="40" t="str">
        <f>IFERROR(__xludf.DUMMYFUNCTION("IF('Use Case Tracker'!D9="""","""",IFERROR(GOOGLETRANSLATE('Use Case Tracker'!D9,""en"",""vi""),'Use Case Tracker'!D9))"),"Quản trị viên")</f>
        <v>Quản trị viên</v>
      </c>
      <c r="E9" s="40" t="str">
        <f>IFERROR(__xludf.DUMMYFUNCTION("IF('Use Case Tracker'!E9="""","""",IFERROR(GOOGLETRANSLATE('Use Case Tracker'!E9,""en"",""vi""),'Use Case Tracker'!E9))"),"Quản trị viên")</f>
        <v>Quản trị viên</v>
      </c>
      <c r="F9" s="40" t="str">
        <f>IFERROR(__xludf.DUMMYFUNCTION("IF('Use Case Tracker'!F9="""","""",IFERROR(GOOGLETRANSLATE('Use Case Tracker'!F9,""en"",""vi""),'Use Case Tracker'!F9))"),"Quản trị viên chỉ xem được bản tóm tắt cơ bản về gói đăng ký; các biểu đồ/xuất dữ liệu nâng cao sẽ được bổ sung trong tương")</f>
        <v>Quản trị viên chỉ xem được bản tóm tắt cơ bản về gói đăng ký; các biểu đồ/xuất dữ liệu nâng cao sẽ được bổ sung trong tương</v>
      </c>
      <c r="G9" s="40" t="str">
        <f>IF('Use Case Tracker'!G9="","",SWITCH('Use Case Tracker'!G9,"Must-have","Bắt buộc","Should-have","Nên có","Could-have","Có thể có",'Use Case Tracker'!G9))</f>
        <v>Có thể có</v>
      </c>
      <c r="H9" s="40" t="str">
        <f>IF('Use Case Tracker'!H9="","",SWITCH('Use Case Tracker'!H9,"Not Started","Chưa bắt đầu","In Progress","Đang làm","Done","Hoàn thành",'Use Case Tracker'!H9))</f>
        <v>Chưa bắt đầu</v>
      </c>
      <c r="J9" s="40" t="str">
        <f>IF('Use Case Tracker'!J9="","",'Use Case Tracker'!J9)</f>
        <v>BR-SUB-01, BR-FUT-01</v>
      </c>
      <c r="K9" s="40" t="str">
        <f>IFERROR(__xludf.DUMMYFUNCTION("IF('Use Case Tracker'!K9="""","""",IFERROR(GOOGLETRANSLATE('Use Case Tracker'!K9,""en"",""vi""),'Use Case Tracker'!K9))"),"")</f>
        <v/>
      </c>
      <c r="L9" s="40" t="str">
        <f>IF('Use Case Tracker'!L9="","",SWITCH('Use Case Tracker'!L9,"Keep","Giữ trong scope","Could-have / Do after core","Có thể có / Làm sau core",'Use Case Tracker'!L9))</f>
        <v>Có thể có / Làm sau core</v>
      </c>
    </row>
    <row r="10" ht="22.5" customHeight="1">
      <c r="A10" s="40" t="str">
        <f>IF('Use Case Tracker'!A10="","",'Use Case Tracker'!A10)</f>
        <v>UC09</v>
      </c>
      <c r="B10" s="40" t="str">
        <f>IFERROR(__xludf.DUMMYFUNCTION("IF('Use Case Tracker'!B10="""","""",IFERROR(GOOGLETRANSLATE('Use Case Tracker'!B10,""en"",""vi""),'Use Case Tracker'!B10))"),"Hoàn thành mẫu đăng ký gia đình - Thông tin tài khoản")</f>
        <v>Hoàn thành mẫu đăng ký gia đình - Thông tin tài khoản</v>
      </c>
      <c r="C10" s="40" t="str">
        <f>IFERROR(__xludf.DUMMYFUNCTION("IF('Use Case Tracker'!C10="""","""",IFERROR(GOOGLETRANSLATE('Use Case Tracker'!C10,""en"",""vi""),'Use Case Tracker'!C10))"),"Luồng 1")</f>
        <v>Luồng 1</v>
      </c>
      <c r="D10" s="40" t="str">
        <f>IFERROR(__xludf.DUMMYFUNCTION("IF('Use Case Tracker'!D10="""","""",IFERROR(GOOGLETRANSLATE('Use Case Tracker'!D10,""en"",""vi""),'Use Case Tracker'!D10))"),"Xác thực")</f>
        <v>Xác thực</v>
      </c>
      <c r="E10" s="40" t="str">
        <f>IFERROR(__xludf.DUMMYFUNCTION("IF('Use Case Tracker'!E10="""","""",IFERROR(GOOGLETRANSLATE('Use Case Tracker'!E10,""en"",""vi""),'Use Case Tracker'!E10))"),"Người đại diện gia đình/Người dùng mới")</f>
        <v>Người đại diện gia đình/Người dùng mới</v>
      </c>
      <c r="F10" s="40" t="str">
        <f>IFERROR(__xludf.DUMMYFUNCTION("IF('Use Case Tracker'!F10="""","""",IFERROR(GOOGLETRANSLATE('Use Case Tracker'!F10,""en"",""vi""),'Use Case Tracker'!F10))"),"Nhập thông tin đăng ký tài khoản vào Biểu mẫu Gia đình.
(Tạo thông tin tài khoản -&gt; Tạo thông tin không gian làm việc cho gia đình)")</f>
        <v>Nhập thông tin đăng ký tài khoản vào Biểu mẫu Gia đình.
(Tạo thông tin tài khoản -&gt; Tạo thông tin không gian làm việc cho gia đình)</v>
      </c>
      <c r="G10" s="40" t="str">
        <f>IF('Use Case Tracker'!G10="","",SWITCH('Use Case Tracker'!G10,"Must-have","Bắt buộc","Should-have","Nên có","Could-have","Có thể có",'Use Case Tracker'!G10))</f>
        <v>Bắt buộc</v>
      </c>
      <c r="H10" s="40" t="str">
        <f>IF('Use Case Tracker'!H10="","",SWITCH('Use Case Tracker'!H10,"Not Started","Chưa bắt đầu","In Progress","Đang làm","Done","Hoàn thành",'Use Case Tracker'!H10))</f>
        <v>Chưa bắt đầu</v>
      </c>
      <c r="J10" s="41" t="s">
        <v>60</v>
      </c>
      <c r="K10" s="41" t="s">
        <v>1776</v>
      </c>
      <c r="L10" s="40" t="str">
        <f>IF('Use Case Tracker'!L10="","",SWITCH('Use Case Tracker'!L10,"Keep","Giữ trong scope","Could-have / Do after core","Có thể có / Làm sau core",'Use Case Tracker'!L10))</f>
        <v>Giữ trong scope</v>
      </c>
    </row>
    <row r="11" ht="22.5" customHeight="1">
      <c r="A11" s="40" t="str">
        <f>IF('Use Case Tracker'!A11="","",'Use Case Tracker'!A11)</f>
        <v>UC10</v>
      </c>
      <c r="B11" s="40" t="str">
        <f>IFERROR(__xludf.DUMMYFUNCTION("IF('Use Case Tracker'!B11="""","""",IFERROR(GOOGLETRANSLATE('Use Case Tracker'!B11,""en"",""vi""),'Use Case Tracker'!B11))"),"Xác minh tài khoản")</f>
        <v>Xác minh tài khoản</v>
      </c>
      <c r="C11" s="40" t="str">
        <f>IFERROR(__xludf.DUMMYFUNCTION("IF('Use Case Tracker'!C11="""","""",IFERROR(GOOGLETRANSLATE('Use Case Tracker'!C11,""en"",""vi""),'Use Case Tracker'!C11))"),"Luồng 1")</f>
        <v>Luồng 1</v>
      </c>
      <c r="D11" s="40" t="str">
        <f>IFERROR(__xludf.DUMMYFUNCTION("IF('Use Case Tracker'!D11="""","""",IFERROR(GOOGLETRANSLATE('Use Case Tracker'!D11,""en"",""vi""),'Use Case Tracker'!D11))"),"Xác thực")</f>
        <v>Xác thực</v>
      </c>
      <c r="E11" s="40" t="str">
        <f>IFERROR(__xludf.DUMMYFUNCTION("IF('Use Case Tracker'!E11="""","""",IFERROR(GOOGLETRANSLATE('Use Case Tracker'!E11,""en"",""vi""),'Use Case Tracker'!E11))"),"Người đại diện gia đình/Người dùng mới")</f>
        <v>Người đại diện gia đình/Người dùng mới</v>
      </c>
      <c r="F11" s="40" t="str">
        <f>IFERROR(__xludf.DUMMYFUNCTION("IF('Use Case Tracker'!F11="""","""",IFERROR(GOOGLETRANSLATE('Use Case Tracker'!F11,""en"",""vi""),'Use Case Tracker'!F11))"),"Nếu việc xác minh tài khoản là bắt buộc trước khi kích hoạt đầy đủ không gian làm việc, hãy xác minh tài khoản sau khi hoàn tất thủ tục đăng ký.")</f>
        <v>Nếu việc xác minh tài khoản là bắt buộc trước khi kích hoạt đầy đủ không gian làm việc, hãy xác minh tài khoản sau khi hoàn tất thủ tục đăng ký.</v>
      </c>
      <c r="G11" s="40" t="str">
        <f>IF('Use Case Tracker'!G11="","",SWITCH('Use Case Tracker'!G11,"Must-have","Bắt buộc","Should-have","Nên có","Could-have","Có thể có",'Use Case Tracker'!G11))</f>
        <v>Bắt buộc</v>
      </c>
      <c r="H11" s="40" t="str">
        <f>IF('Use Case Tracker'!H11="","",SWITCH('Use Case Tracker'!H11,"Not Started","Chưa bắt đầu","In Progress","Đang làm","Done","Hoàn thành",'Use Case Tracker'!H11))</f>
        <v>Chưa bắt đầu</v>
      </c>
      <c r="J11" s="40" t="str">
        <f>IF('Use Case Tracker'!J11="","",'Use Case Tracker'!J11)</f>
        <v>BR-AUTH-01</v>
      </c>
      <c r="K11" s="40" t="str">
        <f>IFERROR(__xludf.DUMMYFUNCTION("IF('Use Case Tracker'!K11="""","""",IFERROR(GOOGLETRANSLATE('Use Case Tracker'!K11,""en"",""vi""),'Use Case Tracker'!K11))"),"Việc xác minh có thể được thực hiện qua email/điện thoại/mã hoặc mô phỏng để minh họa.")</f>
        <v>Việc xác minh có thể được thực hiện qua email/điện thoại/mã hoặc mô phỏng để minh họa.</v>
      </c>
      <c r="L11" s="40" t="str">
        <f>IF('Use Case Tracker'!L11="","",SWITCH('Use Case Tracker'!L11,"Keep","Giữ trong scope","Could-have / Do after core","Có thể có / Làm sau core",'Use Case Tracker'!L11))</f>
        <v>Giữ trong scope</v>
      </c>
    </row>
    <row r="12" ht="22.5" customHeight="1">
      <c r="A12" s="40" t="str">
        <f>IF('Use Case Tracker'!A12="","",'Use Case Tracker'!A12)</f>
        <v>UC11</v>
      </c>
      <c r="B12" s="40" t="str">
        <f>IFERROR(__xludf.DUMMYFUNCTION("IF('Use Case Tracker'!B12="""","""",IFERROR(GOOGLETRANSLATE('Use Case Tracker'!B12,""en"",""vi""),'Use Case Tracker'!B12))"),"Đăng nhập / Đăng xuất")</f>
        <v>Đăng nhập / Đăng xuất</v>
      </c>
      <c r="C12" s="40" t="str">
        <f>IFERROR(__xludf.DUMMYFUNCTION("IF('Use Case Tracker'!C12="""","""",IFERROR(GOOGLETRANSLATE('Use Case Tracker'!C12,""en"",""vi""),'Use Case Tracker'!C12))"),"Luồng 1")</f>
        <v>Luồng 1</v>
      </c>
      <c r="D12" s="40" t="str">
        <f>IFERROR(__xludf.DUMMYFUNCTION("IF('Use Case Tracker'!D12="""","""",IFERROR(GOOGLETRANSLATE('Use Case Tracker'!D12,""en"",""vi""),'Use Case Tracker'!D12))"),"Xác thực")</f>
        <v>Xác thực</v>
      </c>
      <c r="E12" s="40" t="str">
        <f>IFERROR(__xludf.DUMMYFUNCTION("IF('Use Case Tracker'!E12="""","""",IFERROR(GOOGLETRANSLATE('Use Case Tracker'!E12,""en"",""vi""),'Use Case Tracker'!E12))"),"Tất cả người dùng")</f>
        <v>Tất cả người dùng</v>
      </c>
      <c r="F12" s="40" t="str">
        <f>IFERROR(__xludf.DUMMYFUNCTION("IF('Use Case Tracker'!F12="""","""",IFERROR(GOOGLETRANSLATE('Use Case Tracker'!F12,""en"",""vi""),'Use Case Tracker'!F12))"),"Đăng nhập hoặc đăng xuất sau khi hoàn tất quá trình thiết lập tài khoản/không gian làm việc.")</f>
        <v>Đăng nhập hoặc đăng xuất sau khi hoàn tất quá trình thiết lập tài khoản/không gian làm việc.</v>
      </c>
      <c r="G12" s="40" t="str">
        <f>IF('Use Case Tracker'!G12="","",SWITCH('Use Case Tracker'!G12,"Must-have","Bắt buộc","Should-have","Nên có","Could-have","Có thể có",'Use Case Tracker'!G12))</f>
        <v>Bắt buộc</v>
      </c>
      <c r="H12" s="40" t="str">
        <f>IF('Use Case Tracker'!H12="","",SWITCH('Use Case Tracker'!H12,"Not Started","Chưa bắt đầu","In Progress","Đang làm","Done","Hoàn thành",'Use Case Tracker'!H12))</f>
        <v>Chưa bắt đầu</v>
      </c>
      <c r="J12" s="40" t="str">
        <f>IF('Use Case Tracker'!J12="","",'Use Case Tracker'!J12)</f>
        <v>BR-AUTH-02</v>
      </c>
      <c r="K12" s="40" t="str">
        <f>IFERROR(__xludf.DUMMYFUNCTION("IF('Use Case Tracker'!K12="""","""",IFERROR(GOOGLETRANSLATE('Use Case Tracker'!K12,""en"",""vi""),'Use Case Tracker'!K12))"),"Việc đăng nhập có thể tự động sau khi hoàn tất quá trình đăng ký, tùy thuộc vào cách triển khai.")</f>
        <v>Việc đăng nhập có thể tự động sau khi hoàn tất quá trình đăng ký, tùy thuộc vào cách triển khai.</v>
      </c>
      <c r="L12" s="40" t="str">
        <f>IF('Use Case Tracker'!L12="","",SWITCH('Use Case Tracker'!L12,"Keep","Giữ trong scope","Could-have / Do after core","Có thể có / Làm sau core",'Use Case Tracker'!L12))</f>
        <v>Giữ trong scope</v>
      </c>
    </row>
    <row r="13" ht="22.5" customHeight="1">
      <c r="A13" s="40" t="str">
        <f>IF('Use Case Tracker'!A16="","",'Use Case Tracker'!A16)</f>
        <v>UC15</v>
      </c>
      <c r="B13" s="40" t="str">
        <f>IFERROR(__xludf.DUMMYFUNCTION("IF('Use Case Tracker'!B16="""","""",IFERROR(GOOGLETRANSLATE('Use Case Tracker'!B16,""en"",""vi""),'Use Case Tracker'!B16))"),"Mời thành viên gia đình")</f>
        <v>Mời thành viên gia đình</v>
      </c>
      <c r="C13" s="40" t="str">
        <f>IFERROR(__xludf.DUMMYFUNCTION("IF('Use Case Tracker'!C16="""","""",IFERROR(GOOGLETRANSLATE('Use Case Tracker'!C16,""en"",""vi""),'Use Case Tracker'!C16))"),"Luồng 2")</f>
        <v>Luồng 2</v>
      </c>
      <c r="D13" s="40" t="str">
        <f>IFERROR(__xludf.DUMMYFUNCTION("IF('Use Case Tracker'!D16="""","""",IFERROR(GOOGLETRANSLATE('Use Case Tracker'!D16,""en"",""vi""),'Use Case Tracker'!D16))"),"Gia đình")</f>
        <v>Gia đình</v>
      </c>
      <c r="E13" s="40" t="str">
        <f>IFERROR(__xludf.DUMMYFUNCTION("IF('Use Case Tracker'!E16="""","""",IFERROR(GOOGLETRANSLATE('Use Case Tracker'!E16,""en"",""vi""),'Use Case Tracker'!E16))"),"Quản lý gia đình")</f>
        <v>Quản lý gia đình</v>
      </c>
      <c r="F13" s="40" t="str">
        <f>IFERROR(__xludf.DUMMYFUNCTION("IF('Use Case Tracker'!F16="""","""",IFERROR(GOOGLETRANSLATE('Use Case Tracker'!F16,""en"",""vi""),'Use Case Tracker'!F16))"),"Mời thành viên gia đình")</f>
        <v>Mời thành viên gia đình</v>
      </c>
      <c r="G13" s="40" t="str">
        <f>IF('Use Case Tracker'!G16="","",SWITCH('Use Case Tracker'!G16,"Must-have","Bắt buộc","Should-have","Nên có","Could-have","Có thể có",'Use Case Tracker'!G16))</f>
        <v>Bắt buộc</v>
      </c>
      <c r="H13" s="40" t="str">
        <f>IF('Use Case Tracker'!H16="","",SWITCH('Use Case Tracker'!H16,"Not Started","Chưa bắt đầu","In Progress","Đang làm","Done","Hoàn thành",'Use Case Tracker'!H16))</f>
        <v>Chưa bắt đầu</v>
      </c>
      <c r="J13" s="40" t="str">
        <f>IF('Use Case Tracker'!J16="","",'Use Case Tracker'!J16)</f>
        <v>BR-INV-01, BR-ROLE-01</v>
      </c>
      <c r="K13" s="40" t="str">
        <f>IFERROR(__xludf.DUMMYFUNCTION("IF('Use Case Tracker'!K16="""","""",IFERROR(GOOGLETRANSLATE('Use Case Tracker'!K16,""en"",""vi""),'Use Case Tracker'!K16))"),"")</f>
        <v/>
      </c>
      <c r="L13" s="40" t="str">
        <f>IF('Use Case Tracker'!L16="","",SWITCH('Use Case Tracker'!L16,"Keep","Giữ trong scope","Could-have / Do after core","Có thể có / Làm sau core",'Use Case Tracker'!L16))</f>
        <v>Giữ trong scope</v>
      </c>
    </row>
    <row r="14" ht="22.5" customHeight="1">
      <c r="A14" s="40" t="str">
        <f>IF('Use Case Tracker'!A17="","",'Use Case Tracker'!A17)</f>
        <v>UC16</v>
      </c>
      <c r="B14" s="40" t="str">
        <f>IFERROR(__xludf.DUMMYFUNCTION("IF('Use Case Tracker'!B17="""","""",IFERROR(GOOGLETRANSLATE('Use Case Tracker'!B17,""en"",""vi""),'Use Case Tracker'!B17))"),"Quản lý lời mời gia đình")</f>
        <v>Quản lý lời mời gia đình</v>
      </c>
      <c r="C14" s="40" t="str">
        <f>IFERROR(__xludf.DUMMYFUNCTION("IF('Use Case Tracker'!C17="""","""",IFERROR(GOOGLETRANSLATE('Use Case Tracker'!C17,""en"",""vi""),'Use Case Tracker'!C17))"),"Luồng 2")</f>
        <v>Luồng 2</v>
      </c>
      <c r="D14" s="40" t="str">
        <f>IFERROR(__xludf.DUMMYFUNCTION("IF('Use Case Tracker'!D17="""","""",IFERROR(GOOGLETRANSLATE('Use Case Tracker'!D17,""en"",""vi""),'Use Case Tracker'!D17))"),"Gia đình")</f>
        <v>Gia đình</v>
      </c>
      <c r="E14" s="40" t="str">
        <f>IFERROR(__xludf.DUMMYFUNCTION("IF('Use Case Tracker'!E17="""","""",IFERROR(GOOGLETRANSLATE('Use Case Tracker'!E17,""en"",""vi""),'Use Case Tracker'!E17))"),"Quản lý gia đình")</f>
        <v>Quản lý gia đình</v>
      </c>
      <c r="F14" s="40" t="str">
        <f>IFERROR(__xludf.DUMMYFUNCTION("IF('Use Case Tracker'!F17="""","""",IFERROR(GOOGLETRANSLATE('Use Case Tracker'!F17,""en"",""vi""),'Use Case Tracker'!F17))"),"Quản lý lời mời gia đình")</f>
        <v>Quản lý lời mời gia đình</v>
      </c>
      <c r="G14" s="40" t="str">
        <f>IF('Use Case Tracker'!G17="","",SWITCH('Use Case Tracker'!G17,"Must-have","Bắt buộc","Should-have","Nên có","Could-have","Có thể có",'Use Case Tracker'!G17))</f>
        <v>Nên có</v>
      </c>
      <c r="H14" s="40" t="str">
        <f>IF('Use Case Tracker'!H17="","",SWITCH('Use Case Tracker'!H17,"Not Started","Chưa bắt đầu","In Progress","Đang làm","Done","Hoàn thành",'Use Case Tracker'!H17))</f>
        <v>Chưa bắt đầu</v>
      </c>
      <c r="J14" s="40" t="str">
        <f>IF('Use Case Tracker'!J17="","",'Use Case Tracker'!J17)</f>
        <v>BR-INV-01</v>
      </c>
      <c r="K14" s="40" t="str">
        <f>IFERROR(__xludf.DUMMYFUNCTION("IF('Use Case Tracker'!K17="""","""",IFERROR(GOOGLETRANSLATE('Use Case Tracker'!K17,""en"",""vi""),'Use Case Tracker'!K17))"),"")</f>
        <v/>
      </c>
      <c r="L14" s="40" t="str">
        <f>IF('Use Case Tracker'!L17="","",SWITCH('Use Case Tracker'!L17,"Keep","Giữ trong scope","Could-have / Do after core","Có thể có / Làm sau core",'Use Case Tracker'!L17))</f>
        <v>Giữ trong scope</v>
      </c>
    </row>
    <row r="15" ht="22.5" customHeight="1">
      <c r="A15" s="40" t="str">
        <f>IF('Use Case Tracker'!A18="","",'Use Case Tracker'!A18)</f>
        <v>UC17</v>
      </c>
      <c r="B15" s="40" t="str">
        <f>IFERROR(__xludf.DUMMYFUNCTION("IF('Use Case Tracker'!B18="""","""",IFERROR(GOOGLETRANSLATE('Use Case Tracker'!B18,""en"",""vi""),'Use Case Tracker'!B18))"),"Quản lý vai trò và mối quan hệ của thành viên")</f>
        <v>Quản lý vai trò và mối quan hệ của thành viên</v>
      </c>
      <c r="C15" s="40" t="str">
        <f>IFERROR(__xludf.DUMMYFUNCTION("IF('Use Case Tracker'!C18="""","""",IFERROR(GOOGLETRANSLATE('Use Case Tracker'!C18,""en"",""vi""),'Use Case Tracker'!C18))"),"Luồng 2")</f>
        <v>Luồng 2</v>
      </c>
      <c r="D15" s="40" t="str">
        <f>IFERROR(__xludf.DUMMYFUNCTION("IF('Use Case Tracker'!D18="""","""",IFERROR(GOOGLETRANSLATE('Use Case Tracker'!D18,""en"",""vi""),'Use Case Tracker'!D18))"),"Gia đình")</f>
        <v>Gia đình</v>
      </c>
      <c r="E15" s="40" t="str">
        <f>IFERROR(__xludf.DUMMYFUNCTION("IF('Use Case Tracker'!E18="""","""",IFERROR(GOOGLETRANSLATE('Use Case Tracker'!E18,""en"",""vi""),'Use Case Tracker'!E18))"),"Quản lý gia đình")</f>
        <v>Quản lý gia đình</v>
      </c>
      <c r="F15" s="40" t="str">
        <f>IFERROR(__xludf.DUMMYFUNCTION("IF('Use Case Tracker'!F18="""","""",IFERROR(GOOGLETRANSLATE('Use Case Tracker'!F18,""en"",""vi""),'Use Case Tracker'!F18))"),"Quản lý vai trò và mối quan hệ của thành viên")</f>
        <v>Quản lý vai trò và mối quan hệ của thành viên</v>
      </c>
      <c r="G15" s="40" t="str">
        <f>IF('Use Case Tracker'!G18="","",SWITCH('Use Case Tracker'!G18,"Must-have","Bắt buộc","Should-have","Nên có","Could-have","Có thể có",'Use Case Tracker'!G18))</f>
        <v>Bắt buộc</v>
      </c>
      <c r="H15" s="40" t="str">
        <f>IF('Use Case Tracker'!H18="","",SWITCH('Use Case Tracker'!H18,"Not Started","Chưa bắt đầu","In Progress","Đang làm","Done","Hoàn thành",'Use Case Tracker'!H18))</f>
        <v>Chưa bắt đầu</v>
      </c>
      <c r="J15" s="40" t="str">
        <f>IF('Use Case Tracker'!J18="","",'Use Case Tracker'!J18)</f>
        <v>BR-ROLE-03, BR-ROLE-04</v>
      </c>
      <c r="K15" s="40" t="str">
        <f>IFERROR(__xludf.DUMMYFUNCTION("IF('Use Case Tracker'!K18="""","""",IFERROR(GOOGLETRANSLATE('Use Case Tracker'!K18,""en"",""vi""),'Use Case Tracker'!K18))"),"")</f>
        <v/>
      </c>
      <c r="L15" s="40" t="str">
        <f>IF('Use Case Tracker'!L18="","",SWITCH('Use Case Tracker'!L18,"Keep","Giữ trong scope","Could-have / Do after core","Có thể có / Làm sau core",'Use Case Tracker'!L18))</f>
        <v>Giữ trong scope</v>
      </c>
    </row>
    <row r="16" ht="22.5" customHeight="1">
      <c r="A16" s="40" t="str">
        <f>IF('Use Case Tracker'!A19="","",'Use Case Tracker'!A19)</f>
        <v>UC18</v>
      </c>
      <c r="B16" s="40" t="str">
        <f>IFERROR(__xludf.DUMMYFUNCTION("IF('Use Case Tracker'!B19="""","""",IFERROR(GOOGLETRANSLATE('Use Case Tracker'!B19,""en"",""vi""),'Use Case Tracker'!B19))"),"Cấp hoặc thu hồi quyền thay mặt")</f>
        <v>Cấp hoặc thu hồi quyền thay mặt</v>
      </c>
      <c r="C16" s="40" t="str">
        <f>IFERROR(__xludf.DUMMYFUNCTION("IF('Use Case Tracker'!C19="""","""",IFERROR(GOOGLETRANSLATE('Use Case Tracker'!C19,""en"",""vi""),'Use Case Tracker'!C19))"),"Luồng 2")</f>
        <v>Luồng 2</v>
      </c>
      <c r="D16" s="40" t="str">
        <f>IFERROR(__xludf.DUMMYFUNCTION("IF('Use Case Tracker'!D19="""","""",IFERROR(GOOGLETRANSLATE('Use Case Tracker'!D19,""en"",""vi""),'Use Case Tracker'!D19))"),"Gia đình")</f>
        <v>Gia đình</v>
      </c>
      <c r="E16" s="40" t="str">
        <f>IFERROR(__xludf.DUMMYFUNCTION("IF('Use Case Tracker'!E19="""","""",IFERROR(GOOGLETRANSLATE('Use Case Tracker'!E19,""en"",""vi""),'Use Case Tracker'!E19))"),"Quản lý gia đình")</f>
        <v>Quản lý gia đình</v>
      </c>
      <c r="F16" s="40" t="str">
        <f>IFERROR(__xludf.DUMMYFUNCTION("IF('Use Case Tracker'!F19="""","""",IFERROR(GOOGLETRANSLATE('Use Case Tracker'!F19,""en"",""vi""),'Use Case Tracker'!F19))"),"Cấp hoặc thu hồi quyền thay mặt")</f>
        <v>Cấp hoặc thu hồi quyền thay mặt</v>
      </c>
      <c r="G16" s="40" t="str">
        <f>IF('Use Case Tracker'!G19="","",SWITCH('Use Case Tracker'!G19,"Must-have","Bắt buộc","Should-have","Nên có","Could-have","Có thể có",'Use Case Tracker'!G19))</f>
        <v>Bắt buộc</v>
      </c>
      <c r="H16" s="40" t="str">
        <f>IF('Use Case Tracker'!H19="","",SWITCH('Use Case Tracker'!H19,"Not Started","Chưa bắt đầu","In Progress","Đang làm","Done","Hoàn thành",'Use Case Tracker'!H19))</f>
        <v>Chưa bắt đầu</v>
      </c>
      <c r="J16" s="40" t="str">
        <f>IF('Use Case Tracker'!J19="","",'Use Case Tracker'!J19)</f>
        <v>BR-ROLE-02, BR-ROLE-01</v>
      </c>
      <c r="K16" s="40" t="str">
        <f>IFERROR(__xludf.DUMMYFUNCTION("IF('Use Case Tracker'!K19="""","""",IFERROR(GOOGLETRANSLATE('Use Case Tracker'!K19,""en"",""vi""),'Use Case Tracker'!K19))"),"")</f>
        <v/>
      </c>
      <c r="L16" s="40" t="str">
        <f>IF('Use Case Tracker'!L19="","",SWITCH('Use Case Tracker'!L19,"Keep","Giữ trong scope","Could-have / Do after core","Có thể có / Làm sau core",'Use Case Tracker'!L19))</f>
        <v>Giữ trong scope</v>
      </c>
    </row>
    <row r="17" ht="22.5" customHeight="1">
      <c r="A17" s="40" t="str">
        <f>IF('Use Case Tracker'!A20="","",'Use Case Tracker'!A20)</f>
        <v>UC19</v>
      </c>
      <c r="B17" s="40" t="str">
        <f>IFERROR(__xludf.DUMMYFUNCTION("IF('Use Case Tracker'!B20="""","""",IFERROR(GOOGLETRANSLATE('Use Case Tracker'!B20,""en"",""vi""),'Use Case Tracker'!B20))"),"Xóa hoặc vô hiệu hóa thành viên gia đình")</f>
        <v>Xóa hoặc vô hiệu hóa thành viên gia đình</v>
      </c>
      <c r="C17" s="40" t="str">
        <f>IFERROR(__xludf.DUMMYFUNCTION("IF('Use Case Tracker'!C20="""","""",IFERROR(GOOGLETRANSLATE('Use Case Tracker'!C20,""en"",""vi""),'Use Case Tracker'!C20))"),"Luồng 2")</f>
        <v>Luồng 2</v>
      </c>
      <c r="D17" s="40" t="str">
        <f>IFERROR(__xludf.DUMMYFUNCTION("IF('Use Case Tracker'!D20="""","""",IFERROR(GOOGLETRANSLATE('Use Case Tracker'!D20,""en"",""vi""),'Use Case Tracker'!D20))"),"Gia đình")</f>
        <v>Gia đình</v>
      </c>
      <c r="E17" s="40" t="str">
        <f>IFERROR(__xludf.DUMMYFUNCTION("IF('Use Case Tracker'!E20="""","""",IFERROR(GOOGLETRANSLATE('Use Case Tracker'!E20,""en"",""vi""),'Use Case Tracker'!E20))"),"Quản lý gia đình")</f>
        <v>Quản lý gia đình</v>
      </c>
      <c r="F17" s="40" t="str">
        <f>IFERROR(__xludf.DUMMYFUNCTION("IF('Use Case Tracker'!F20="""","""",IFERROR(GOOGLETRANSLATE('Use Case Tracker'!F20,""en"",""vi""),'Use Case Tracker'!F20))"),"Xóa hoặc vô hiệu hóa thành viên gia đình")</f>
        <v>Xóa hoặc vô hiệu hóa thành viên gia đình</v>
      </c>
      <c r="G17" s="40" t="str">
        <f>IF('Use Case Tracker'!G20="","",SWITCH('Use Case Tracker'!G20,"Must-have","Bắt buộc","Should-have","Nên có","Could-have","Có thể có",'Use Case Tracker'!G20))</f>
        <v>Bắt buộc</v>
      </c>
      <c r="H17" s="40" t="str">
        <f>IF('Use Case Tracker'!H20="","",SWITCH('Use Case Tracker'!H20,"Not Started","Chưa bắt đầu","In Progress","Đang làm","Done","Hoàn thành",'Use Case Tracker'!H20))</f>
        <v>Chưa bắt đầu</v>
      </c>
      <c r="J17" s="40" t="str">
        <f>IF('Use Case Tracker'!J20="","",'Use Case Tracker'!J20)</f>
        <v>BR-ROLE-01</v>
      </c>
      <c r="K17" s="40" t="str">
        <f>IFERROR(__xludf.DUMMYFUNCTION("IF('Use Case Tracker'!K20="""","""",IFERROR(GOOGLETRANSLATE('Use Case Tracker'!K20,""en"",""vi""),'Use Case Tracker'!K20))"),"")</f>
        <v/>
      </c>
      <c r="L17" s="40" t="str">
        <f>IF('Use Case Tracker'!L20="","",SWITCH('Use Case Tracker'!L20,"Keep","Giữ trong scope","Could-have / Do after core","Có thể có / Làm sau core",'Use Case Tracker'!L20))</f>
        <v>Giữ trong scope</v>
      </c>
    </row>
    <row r="18" ht="22.5" customHeight="1">
      <c r="A18" s="40" t="str">
        <f>IF('Use Case Tracker'!A21="","",'Use Case Tracker'!A21)</f>
        <v>UC20</v>
      </c>
      <c r="B18" s="40" t="str">
        <f>IFERROR(__xludf.DUMMYFUNCTION("IF('Use Case Tracker'!B21="""","""",IFERROR(GOOGLETRANSLATE('Use Case Tracker'!B21,""en"",""vi""),'Use Case Tracker'!B21))"),"Xem danh sách và thông tin chi tiết các thành viên gia đình")</f>
        <v>Xem danh sách và thông tin chi tiết các thành viên gia đình</v>
      </c>
      <c r="C18" s="40" t="str">
        <f>IFERROR(__xludf.DUMMYFUNCTION("IF('Use Case Tracker'!C21="""","""",IFERROR(GOOGLETRANSLATE('Use Case Tracker'!C21,""en"",""vi""),'Use Case Tracker'!C21))"),"Luồng 2")</f>
        <v>Luồng 2</v>
      </c>
      <c r="D18" s="40" t="str">
        <f>IFERROR(__xludf.DUMMYFUNCTION("IF('Use Case Tracker'!D21="""","""",IFERROR(GOOGLETRANSLATE('Use Case Tracker'!D21,""en"",""vi""),'Use Case Tracker'!D21))"),"Gia đình")</f>
        <v>Gia đình</v>
      </c>
      <c r="E18" s="40" t="str">
        <f>IFERROR(__xludf.DUMMYFUNCTION("IF('Use Case Tracker'!E21="""","""",IFERROR(GOOGLETRANSLATE('Use Case Tracker'!E21,""en"",""vi""),'Use Case Tracker'!E21))"),"Quản lý gia đình")</f>
        <v>Quản lý gia đình</v>
      </c>
      <c r="F18" s="40" t="str">
        <f>IFERROR(__xludf.DUMMYFUNCTION("IF('Use Case Tracker'!F21="""","""",IFERROR(GOOGLETRANSLATE('Use Case Tracker'!F21,""en"",""vi""),'Use Case Tracker'!F21))"),"Xem danh sách và thông tin chi tiết các thành viên gia đình")</f>
        <v>Xem danh sách và thông tin chi tiết các thành viên gia đình</v>
      </c>
      <c r="G18" s="40" t="str">
        <f>IF('Use Case Tracker'!G21="","",SWITCH('Use Case Tracker'!G21,"Must-have","Bắt buộc","Should-have","Nên có","Could-have","Có thể có",'Use Case Tracker'!G21))</f>
        <v>Bắt buộc</v>
      </c>
      <c r="H18" s="40" t="str">
        <f>IF('Use Case Tracker'!H21="","",SWITCH('Use Case Tracker'!H21,"Not Started","Chưa bắt đầu","In Progress","Đang làm","Done","Hoàn thành",'Use Case Tracker'!H21))</f>
        <v>Chưa bắt đầu</v>
      </c>
      <c r="J18" s="40" t="str">
        <f>IF('Use Case Tracker'!J21="","",'Use Case Tracker'!J21)</f>
        <v>BR-ROLE-03, BR-ROLE-04</v>
      </c>
      <c r="K18" s="40" t="str">
        <f>IFERROR(__xludf.DUMMYFUNCTION("IF('Use Case Tracker'!K21="""","""",IFERROR(GOOGLETRANSLATE('Use Case Tracker'!K21,""en"",""vi""),'Use Case Tracker'!K21))"),"")</f>
        <v/>
      </c>
      <c r="L18" s="40" t="str">
        <f>IF('Use Case Tracker'!L21="","",SWITCH('Use Case Tracker'!L21,"Keep","Giữ trong scope","Could-have / Do after core","Có thể có / Làm sau core",'Use Case Tracker'!L21))</f>
        <v>Giữ trong scope</v>
      </c>
    </row>
    <row r="19" ht="22.5" customHeight="1">
      <c r="A19" s="40" t="str">
        <f>IF('Use Case Tracker'!A22="","",'Use Case Tracker'!A22)</f>
        <v>UC21</v>
      </c>
      <c r="B19" s="40" t="str">
        <f>IFERROR(__xludf.DUMMYFUNCTION("IF('Use Case Tracker'!B22="""","""",IFERROR(GOOGLETRANSLATE('Use Case Tracker'!B22,""en"",""vi""),'Use Case Tracker'!B22))"),"Xem tóm tắt hồ sơ tài chính của thành viên")</f>
        <v>Xem tóm tắt hồ sơ tài chính của thành viên</v>
      </c>
      <c r="C19" s="40" t="str">
        <f>IFERROR(__xludf.DUMMYFUNCTION("IF('Use Case Tracker'!C22="""","""",IFERROR(GOOGLETRANSLATE('Use Case Tracker'!C22,""en"",""vi""),'Use Case Tracker'!C22))"),"Luồng 3")</f>
        <v>Luồng 3</v>
      </c>
      <c r="D19" s="40" t="str">
        <f>IFERROR(__xludf.DUMMYFUNCTION("IF('Use Case Tracker'!D22="""","""",IFERROR(GOOGLETRANSLATE('Use Case Tracker'!D22,""en"",""vi""),'Use Case Tracker'!D22))"),"Tài chính")</f>
        <v>Tài chính</v>
      </c>
      <c r="E19" s="40" t="str">
        <f>IFERROR(__xludf.DUMMYFUNCTION("IF('Use Case Tracker'!E22="""","""",IFERROR(GOOGLETRANSLATE('Use Case Tracker'!E22,""en"",""vi""),'Use Case Tracker'!E22))"),"Quản lý gia đình")</f>
        <v>Quản lý gia đình</v>
      </c>
      <c r="F19" s="40" t="str">
        <f>IFERROR(__xludf.DUMMYFUNCTION("IF('Use Case Tracker'!F22="""","""",IFERROR(GOOGLETRANSLATE('Use Case Tracker'!F22,""en"",""vi""),'Use Case Tracker'!F22))"),"Xem tóm tắt hồ sơ tài chính của thành viên, chẳng hạn như tình trạng thu nhập và dữ liệu lập kế hoạch tổng hợp dựa trên quyền hạn; Theo mặc định, Family Manager không trực tiếp chỉnh sửa thu nhập/chi phí cá nhân của từng thành viên.")</f>
        <v>Xem tóm tắt hồ sơ tài chính của thành viên, chẳng hạn như tình trạng thu nhập và dữ liệu lập kế hoạch tổng hợp dựa trên quyền hạn; Theo mặc định, Family Manager không trực tiếp chỉnh sửa thu nhập/chi phí cá nhân của từng thành viên.</v>
      </c>
      <c r="G19" s="40" t="str">
        <f>IF('Use Case Tracker'!G22="","",SWITCH('Use Case Tracker'!G22,"Must-have","Bắt buộc","Should-have","Nên có","Could-have","Có thể có",'Use Case Tracker'!G22))</f>
        <v>Bắt buộc</v>
      </c>
      <c r="H19" s="40" t="str">
        <f>IF('Use Case Tracker'!H22="","",SWITCH('Use Case Tracker'!H22,"Not Started","Chưa bắt đầu","In Progress","Đang làm","Done","Hoàn thành",'Use Case Tracker'!H22))</f>
        <v>Chưa bắt đầu</v>
      </c>
      <c r="J19" s="40" t="str">
        <f>IF('Use Case Tracker'!J22="","",'Use Case Tracker'!J22)</f>
        <v>BR-FIN-05, BR-FIN-06</v>
      </c>
      <c r="K19" s="40" t="str">
        <f>IFERROR(__xludf.DUMMYFUNCTION("IF('Use Case Tracker'!K22="""","""",IFERROR(GOOGLETRANSLATE('Use Case Tracker'!K22,""en"",""vi""),'Use Case Tracker'!K22))"),"Người quản lý xem bản tóm tắt để lập kế hoạch, không có quyền kiểm soát trực tiếp dữ liệu cá nhân.")</f>
        <v>Người quản lý xem bản tóm tắt để lập kế hoạch, không có quyền kiểm soát trực tiếp dữ liệu cá nhân.</v>
      </c>
      <c r="L19" s="40" t="str">
        <f>IF('Use Case Tracker'!L22="","",SWITCH('Use Case Tracker'!L22,"Keep","Giữ trong scope","Could-have / Do after core","Có thể có / Làm sau core",'Use Case Tracker'!L22))</f>
        <v>Giữ trong scope</v>
      </c>
    </row>
    <row r="20" ht="22.5" customHeight="1">
      <c r="A20" s="40" t="str">
        <f>IF('Use Case Tracker'!A23="","",'Use Case Tracker'!A23)</f>
        <v>UC22</v>
      </c>
      <c r="B20" s="40" t="str">
        <f>IFERROR(__xludf.DUMMYFUNCTION("IF('Use Case Tracker'!B23="""","""",IFERROR(GOOGLETRANSLATE('Use Case Tracker'!B23,""en"",""vi""),'Use Case Tracker'!B23))"),"Thiết lập thu nhập và chi tiêu cá nhân")</f>
        <v>Thiết lập thu nhập và chi tiêu cá nhân</v>
      </c>
      <c r="C20" s="40" t="str">
        <f>IFERROR(__xludf.DUMMYFUNCTION("IF('Use Case Tracker'!C23="""","""",IFERROR(GOOGLETRANSLATE('Use Case Tracker'!C23,""en"",""vi""),'Use Case Tracker'!C23))"),"Luồng 3")</f>
        <v>Luồng 3</v>
      </c>
      <c r="D20" s="40" t="str">
        <f>IFERROR(__xludf.DUMMYFUNCTION("IF('Use Case Tracker'!D23="""","""",IFERROR(GOOGLETRANSLATE('Use Case Tracker'!D23,""en"",""vi""),'Use Case Tracker'!D23))"),"Tài chính")</f>
        <v>Tài chính</v>
      </c>
      <c r="E20" s="40" t="str">
        <f>IFERROR(__xludf.DUMMYFUNCTION("IF('Use Case Tracker'!E23="""","""",IFERROR(GOOGLETRANSLATE('Use Case Tracker'!E23,""en"",""vi""),'Use Case Tracker'!E23))"),"Thành viên gia đình")</f>
        <v>Thành viên gia đình</v>
      </c>
      <c r="F20" s="40" t="str">
        <f>IFERROR(__xludf.DUMMYFUNCTION("IF('Use Case Tracker'!F23="""","""",IFERROR(GOOGLETRANSLATE('Use Case Tracker'!F23,""en"",""vi""),'Use Case Tracker'!F23))"),"Thành viên gia đình thiết lập hoặc cập nhật trạng thái thu nhập cá nhân, thu nhập dự kiến, thu nhập thực tế, chi phí cá nhân dự kiến ​​và chi phí cá nhân thực tế.")</f>
        <v>Thành viên gia đình thiết lập hoặc cập nhật trạng thái thu nhập cá nhân, thu nhập dự kiến, thu nhập thực tế, chi phí cá nhân dự kiến ​​và chi phí cá nhân thực tế.</v>
      </c>
      <c r="G20" s="40" t="str">
        <f>IF('Use Case Tracker'!G23="","",SWITCH('Use Case Tracker'!G23,"Must-have","Bắt buộc","Should-have","Nên có","Could-have","Có thể có",'Use Case Tracker'!G23))</f>
        <v>Bắt buộc</v>
      </c>
      <c r="H20" s="40" t="str">
        <f>IF('Use Case Tracker'!H23="","",SWITCH('Use Case Tracker'!H23,"Not Started","Chưa bắt đầu","In Progress","Đang làm","Done","Hoàn thành",'Use Case Tracker'!H23))</f>
        <v>Chưa bắt đầu</v>
      </c>
      <c r="J20" s="40" t="str">
        <f>IF('Use Case Tracker'!J23="","",'Use Case Tracker'!J23)</f>
        <v>BR-FIN-05, BR-FIN-06, BR-AUTH-02</v>
      </c>
      <c r="K20" s="40" t="str">
        <f>IFERROR(__xludf.DUMMYFUNCTION("IF('Use Case Tracker'!K23="""","""",IFERROR(GOOGLETRANSLATE('Use Case Tracker'!K23,""en"",""vi""),'Use Case Tracker'!K23))"),"Mỗi thành viên đều sở hữu bản kê khai tài chính cá nhân của riêng mình.")</f>
        <v>Mỗi thành viên đều sở hữu bản kê khai tài chính cá nhân của riêng mình.</v>
      </c>
      <c r="L20" s="40" t="str">
        <f>IF('Use Case Tracker'!L23="","",SWITCH('Use Case Tracker'!L23,"Keep","Giữ trong scope","Could-have / Do after core","Có thể có / Làm sau core",'Use Case Tracker'!L23))</f>
        <v>Giữ trong scope</v>
      </c>
    </row>
    <row r="21" ht="22.5" customHeight="1">
      <c r="A21" s="40" t="str">
        <f>IF('Use Case Tracker'!A24="","",'Use Case Tracker'!A24)</f>
        <v>UC23</v>
      </c>
      <c r="B21" s="40" t="str">
        <f>IFERROR(__xludf.DUMMYFUNCTION("IF('Use Case Tracker'!B24="""","""",IFERROR(GOOGLETRANSLATE('Use Case Tracker'!B24,""en"",""vi""),'Use Case Tracker'!B24))"),"Quản lý các danh mục chi phí chung")</f>
        <v>Quản lý các danh mục chi phí chung</v>
      </c>
      <c r="C21" s="40" t="str">
        <f>IFERROR(__xludf.DUMMYFUNCTION("IF('Use Case Tracker'!C24="""","""",IFERROR(GOOGLETRANSLATE('Use Case Tracker'!C24,""en"",""vi""),'Use Case Tracker'!C24))"),"Luồng 3")</f>
        <v>Luồng 3</v>
      </c>
      <c r="D21" s="40" t="str">
        <f>IFERROR(__xludf.DUMMYFUNCTION("IF('Use Case Tracker'!D24="""","""",IFERROR(GOOGLETRANSLATE('Use Case Tracker'!D24,""en"",""vi""),'Use Case Tracker'!D24))"),"Tài chính")</f>
        <v>Tài chính</v>
      </c>
      <c r="E21" s="40" t="str">
        <f>IFERROR(__xludf.DUMMYFUNCTION("IF('Use Case Tracker'!E24="""","""",IFERROR(GOOGLETRANSLATE('Use Case Tracker'!E24,""en"",""vi""),'Use Case Tracker'!E24))"),"Người quản lý gia đình / Thành viên gia đình được ủy quyền thay mặt")</f>
        <v>Người quản lý gia đình / Thành viên gia đình được ủy quyền thay mặt</v>
      </c>
      <c r="F21" s="40" t="str">
        <f>IFERROR(__xludf.DUMMYFUNCTION("IF('Use Case Tracker'!F24="""","""",IFERROR(GOOGLETRANSLATE('Use Case Tracker'!F24,""en"",""vi""),'Use Case Tracker'!F24))"),"Quản lý các khoản chi tiêu chung của gia đình như tiền thuê nhà, điện, nước, thực phẩm và học phí.")</f>
        <v>Quản lý các khoản chi tiêu chung của gia đình như tiền thuê nhà, điện, nước, thực phẩm và học phí.</v>
      </c>
      <c r="G21" s="40" t="str">
        <f>IF('Use Case Tracker'!G24="","",SWITCH('Use Case Tracker'!G24,"Must-have","Bắt buộc","Should-have","Nên có","Could-have","Có thể có",'Use Case Tracker'!G24))</f>
        <v>Nên có</v>
      </c>
      <c r="H21" s="40" t="str">
        <f>IF('Use Case Tracker'!H24="","",SWITCH('Use Case Tracker'!H24,"Not Started","Chưa bắt đầu","In Progress","Đang làm","Done","Hoàn thành",'Use Case Tracker'!H24))</f>
        <v>Chưa bắt đầu</v>
      </c>
      <c r="J21" s="40" t="str">
        <f>IF('Use Case Tracker'!J24="","",'Use Case Tracker'!J24)</f>
        <v>BR-FIN-05</v>
      </c>
      <c r="K21" s="40" t="str">
        <f>IFERROR(__xludf.DUMMYFUNCTION("IF('Use Case Tracker'!K24="""","""",IFERROR(GOOGLETRANSLATE('Use Case Tracker'!K24,""en"",""vi""),'Use Case Tracker'!K24))"),"Các danh mục được chia sẻ là ở cấp độ gia đình, không phải riêng tư của từng thành viên.")</f>
        <v>Các danh mục được chia sẻ là ở cấp độ gia đình, không phải riêng tư của từng thành viên.</v>
      </c>
      <c r="L21" s="40" t="str">
        <f>IF('Use Case Tracker'!L24="","",SWITCH('Use Case Tracker'!L24,"Keep","Giữ trong scope","Could-have / Do after core","Có thể có / Làm sau core",'Use Case Tracker'!L24))</f>
        <v>Giữ trong scope</v>
      </c>
    </row>
    <row r="22" ht="22.5" customHeight="1">
      <c r="A22" s="40" t="str">
        <f>IF('Use Case Tracker'!A25="","",'Use Case Tracker'!A25)</f>
        <v>UC24</v>
      </c>
      <c r="B22" s="40" t="str">
        <f>IFERROR(__xludf.DUMMYFUNCTION("IF('Use Case Tracker'!B25="""","""",IFERROR(GOOGLETRANSLATE('Use Case Tracker'!B25,""en"",""vi""),'Use Case Tracker'!B25))"),"Xác định thu nhập/quỹ chung dự kiến ​​của gia đình.")</f>
        <v>Xác định thu nhập/quỹ chung dự kiến ​​của gia đình.</v>
      </c>
      <c r="C22" s="40" t="str">
        <f>IFERROR(__xludf.DUMMYFUNCTION("IF('Use Case Tracker'!C25="""","""",IFERROR(GOOGLETRANSLATE('Use Case Tracker'!C25,""en"",""vi""),'Use Case Tracker'!C25))"),"Luồng 3")</f>
        <v>Luồng 3</v>
      </c>
      <c r="D22" s="40" t="str">
        <f>IFERROR(__xludf.DUMMYFUNCTION("IF('Use Case Tracker'!D25="""","""",IFERROR(GOOGLETRANSLATE('Use Case Tracker'!D25,""en"",""vi""),'Use Case Tracker'!D25))"),"Tài chính")</f>
        <v>Tài chính</v>
      </c>
      <c r="E22" s="40" t="str">
        <f>IFERROR(__xludf.DUMMYFUNCTION("IF('Use Case Tracker'!E25="""","""",IFERROR(GOOGLETRANSLATE('Use Case Tracker'!E25,""en"",""vi""),'Use Case Tracker'!E25))"),"Quản lý gia đình")</f>
        <v>Quản lý gia đình</v>
      </c>
      <c r="F22" s="40" t="str">
        <f>IFERROR(__xludf.DUMMYFUNCTION("IF('Use Case Tracker'!F25="""","""",IFERROR(GOOGLETRANSLATE('Use Case Tracker'!F25,""en"",""vi""),'Use Case Tracker'!F25))"),"Đặt ra các giá trị dự kiến ​​về thu nhập chung của gia đình hoặc kế hoạch quỹ gia đình, không bao gồm thu nhập cá nhân mà các thành viên tự khai báo.")</f>
        <v>Đặt ra các giá trị dự kiến ​​về thu nhập chung của gia đình hoặc kế hoạch quỹ gia đình, không bao gồm thu nhập cá nhân mà các thành viên tự khai báo.</v>
      </c>
      <c r="G22" s="40" t="str">
        <f>IF('Use Case Tracker'!G25="","",SWITCH('Use Case Tracker'!G25,"Must-have","Bắt buộc","Should-have","Nên có","Could-have","Có thể có",'Use Case Tracker'!G25))</f>
        <v>Bắt buộc</v>
      </c>
      <c r="H22" s="40" t="str">
        <f>IF('Use Case Tracker'!H25="","",SWITCH('Use Case Tracker'!H25,"Not Started","Chưa bắt đầu","In Progress","Đang làm","Done","Hoàn thành",'Use Case Tracker'!H25))</f>
        <v>Chưa bắt đầu</v>
      </c>
      <c r="J22" s="40" t="str">
        <f>IF('Use Case Tracker'!J25="","",'Use Case Tracker'!J25)</f>
        <v>BR-FIN-05, BR-FIN-06</v>
      </c>
      <c r="K22" s="40" t="str">
        <f>IFERROR(__xludf.DUMMYFUNCTION("IF('Use Case Tracker'!K25="""","""",IFERROR(GOOGLETRANSLATE('Use Case Tracker'!K25,""en"",""vi""),'Use Case Tracker'!K25))"),"Sử dụng cho quỹ chung, đóng góp chung hoặc lập kế hoạch thu nhập gia đình.")</f>
        <v>Sử dụng cho quỹ chung, đóng góp chung hoặc lập kế hoạch thu nhập gia đình.</v>
      </c>
      <c r="L22" s="40" t="str">
        <f>IF('Use Case Tracker'!L25="","",SWITCH('Use Case Tracker'!L25,"Keep","Giữ trong scope","Could-have / Do after core","Có thể có / Làm sau core",'Use Case Tracker'!L25))</f>
        <v>Giữ trong scope</v>
      </c>
    </row>
    <row r="23" ht="22.5" customHeight="1">
      <c r="A23" s="40" t="str">
        <f>IF('Use Case Tracker'!A26="","",'Use Case Tracker'!A26)</f>
        <v>UC25</v>
      </c>
      <c r="B23" s="40" t="str">
        <f>IFERROR(__xludf.DUMMYFUNCTION("IF('Use Case Tracker'!B26="""","""",IFERROR(GOOGLETRANSLATE('Use Case Tracker'!B26,""en"",""vi""),'Use Case Tracker'!B26))"),"Xác định các khoản chi tiêu chung dự kiến ​​của gia đình.")</f>
        <v>Xác định các khoản chi tiêu chung dự kiến ​​của gia đình.</v>
      </c>
      <c r="C23" s="40" t="str">
        <f>IFERROR(__xludf.DUMMYFUNCTION("IF('Use Case Tracker'!C26="""","""",IFERROR(GOOGLETRANSLATE('Use Case Tracker'!C26,""en"",""vi""),'Use Case Tracker'!C26))"),"Luồng 3")</f>
        <v>Luồng 3</v>
      </c>
      <c r="D23" s="40" t="str">
        <f>IFERROR(__xludf.DUMMYFUNCTION("IF('Use Case Tracker'!D26="""","""",IFERROR(GOOGLETRANSLATE('Use Case Tracker'!D26,""en"",""vi""),'Use Case Tracker'!D26))"),"Tài chính")</f>
        <v>Tài chính</v>
      </c>
      <c r="E23" s="40" t="str">
        <f>IFERROR(__xludf.DUMMYFUNCTION("IF('Use Case Tracker'!E26="""","""",IFERROR(GOOGLETRANSLATE('Use Case Tracker'!E26,""en"",""vi""),'Use Case Tracker'!E26))"),"Quản lý gia đình")</f>
        <v>Quản lý gia đình</v>
      </c>
      <c r="F23" s="40" t="str">
        <f>IFERROR(__xludf.DUMMYFUNCTION("IF('Use Case Tracker'!F26="""","""",IFERROR(GOOGLETRANSLATE('Use Case Tracker'!F26,""en"",""vi""),'Use Case Tracker'!F26))"),"Xác định các khoản chi tiêu chung dự kiến ​​của gia đình như tiền thuê nhà, tiền điện nước, tiền ăn, học phí hoặc các chi phí sinh hoạt chung khác.")</f>
        <v>Xác định các khoản chi tiêu chung dự kiến ​​của gia đình như tiền thuê nhà, tiền điện nước, tiền ăn, học phí hoặc các chi phí sinh hoạt chung khác.</v>
      </c>
      <c r="G23" s="40" t="str">
        <f>IF('Use Case Tracker'!G26="","",SWITCH('Use Case Tracker'!G26,"Must-have","Bắt buộc","Should-have","Nên có","Could-have","Có thể có",'Use Case Tracker'!G26))</f>
        <v>Bắt buộc</v>
      </c>
      <c r="H23" s="40" t="str">
        <f>IF('Use Case Tracker'!H26="","",SWITCH('Use Case Tracker'!H26,"Not Started","Chưa bắt đầu","In Progress","Đang làm","Done","Hoàn thành",'Use Case Tracker'!H26))</f>
        <v>Chưa bắt đầu</v>
      </c>
      <c r="J23" s="40" t="str">
        <f>IF('Use Case Tracker'!J26="","",'Use Case Tracker'!J26)</f>
        <v>BR-FIN-05</v>
      </c>
      <c r="K23" s="40" t="str">
        <f>IFERROR(__xludf.DUMMYFUNCTION("IF('Use Case Tracker'!K26="""","""",IFERROR(GOOGLETRANSLATE('Use Case Tracker'!K26,""en"",""vi""),'Use Case Tracker'!K26))"),"Người quản lý kiểm soát các khoản chi tiêu chung của gia đình.")</f>
        <v>Người quản lý kiểm soát các khoản chi tiêu chung của gia đình.</v>
      </c>
      <c r="L23" s="40" t="str">
        <f>IF('Use Case Tracker'!L26="","",SWITCH('Use Case Tracker'!L26,"Keep","Giữ trong scope","Could-have / Do after core","Có thể có / Làm sau core",'Use Case Tracker'!L26))</f>
        <v>Giữ trong scope</v>
      </c>
    </row>
    <row r="24" ht="22.5" customHeight="1">
      <c r="A24" s="40" t="str">
        <f>IF('Use Case Tracker'!A27="","",'Use Case Tracker'!A27)</f>
        <v>UC26</v>
      </c>
      <c r="B24" s="40" t="str">
        <f>IFERROR(__xludf.DUMMYFUNCTION("IF('Use Case Tracker'!B27="""","""",IFERROR(GOOGLETRANSLATE('Use Case Tracker'!B27,""en"",""vi""),'Use Case Tracker'!B27))"),"Xem ngân sách gia đình theo kế hoạch")</f>
        <v>Xem ngân sách gia đình theo kế hoạch</v>
      </c>
      <c r="C24" s="40" t="str">
        <f>IFERROR(__xludf.DUMMYFUNCTION("IF('Use Case Tracker'!C27="""","""",IFERROR(GOOGLETRANSLATE('Use Case Tracker'!C27,""en"",""vi""),'Use Case Tracker'!C27))"),"Luồng 3")</f>
        <v>Luồng 3</v>
      </c>
      <c r="D24" s="40" t="str">
        <f>IFERROR(__xludf.DUMMYFUNCTION("IF('Use Case Tracker'!D27="""","""",IFERROR(GOOGLETRANSLATE('Use Case Tracker'!D27,""en"",""vi""),'Use Case Tracker'!D27))"),"Tài chính")</f>
        <v>Tài chính</v>
      </c>
      <c r="E24" s="40" t="str">
        <f>IFERROR(__xludf.DUMMYFUNCTION("IF('Use Case Tracker'!E27="""","""",IFERROR(GOOGLETRANSLATE('Use Case Tracker'!E27,""en"",""vi""),'Use Case Tracker'!E27))"),"Quản lý gia đình")</f>
        <v>Quản lý gia đình</v>
      </c>
      <c r="F24" s="40" t="str">
        <f>IFERROR(__xludf.DUMMYFUNCTION("IF('Use Case Tracker'!F27="""","""",IFERROR(GOOGLETRANSLATE('Use Case Tracker'!F27,""en"",""vi""),'Use Case Tracker'!F27))"),"Xem ngân sách gia đình dự kiến ​​được tính toán dựa trên thu nhập/chi tiêu cá nhân do thành viên khai báo và thu nhập/chi tiêu chung của gia đình do người quản lý xác định.")</f>
        <v>Xem ngân sách gia đình dự kiến ​​được tính toán dựa trên thu nhập/chi tiêu cá nhân do thành viên khai báo và thu nhập/chi tiêu chung của gia đình do người quản lý xác định.</v>
      </c>
      <c r="G24" s="40" t="str">
        <f>IF('Use Case Tracker'!G27="","",SWITCH('Use Case Tracker'!G27,"Must-have","Bắt buộc","Should-have","Nên có","Could-have","Có thể có",'Use Case Tracker'!G27))</f>
        <v>Bắt buộc</v>
      </c>
      <c r="H24" s="40" t="str">
        <f>IF('Use Case Tracker'!H27="","",SWITCH('Use Case Tracker'!H27,"Not Started","Chưa bắt đầu","In Progress","Đang làm","Done","Hoàn thành",'Use Case Tracker'!H27))</f>
        <v>Chưa bắt đầu</v>
      </c>
      <c r="J24" s="40" t="str">
        <f>IF('Use Case Tracker'!J27="","",'Use Case Tracker'!J27)</f>
        <v>BR-FIN-05, BR-FIN-06</v>
      </c>
      <c r="K24" s="40" t="str">
        <f>IFERROR(__xludf.DUMMYFUNCTION("IF('Use Case Tracker'!K27="""","""",IFERROR(GOOGLETRANSLATE('Use Case Tracker'!K27,""en"",""vi""),'Use Case Tracker'!K27))"),"Hãy tôn trọng quyền riêng tư/sự cho phép khi hiển thị thông tin chi tiết.")</f>
        <v>Hãy tôn trọng quyền riêng tư/sự cho phép khi hiển thị thông tin chi tiết.</v>
      </c>
      <c r="L24" s="40" t="str">
        <f>IF('Use Case Tracker'!L27="","",SWITCH('Use Case Tracker'!L27,"Keep","Giữ trong scope","Could-have / Do after core","Có thể có / Làm sau core",'Use Case Tracker'!L27))</f>
        <v>Giữ trong scope</v>
      </c>
    </row>
    <row r="25" ht="22.5" customHeight="1">
      <c r="A25" s="40" t="str">
        <f>IF('Use Case Tracker'!A28="","",'Use Case Tracker'!A28)</f>
        <v>UC27</v>
      </c>
      <c r="B25" s="40" t="str">
        <f>IFERROR(__xludf.DUMMYFUNCTION("IF('Use Case Tracker'!B28="""","""",IFERROR(GOOGLETRANSLATE('Use Case Tracker'!B28,""en"",""vi""),'Use Case Tracker'!B28))"),"Ghi chép thu nhập và chi phí cá nhân thực tế")</f>
        <v>Ghi chép thu nhập và chi phí cá nhân thực tế</v>
      </c>
      <c r="C25" s="40" t="str">
        <f>IFERROR(__xludf.DUMMYFUNCTION("IF('Use Case Tracker'!C28="""","""",IFERROR(GOOGLETRANSLATE('Use Case Tracker'!C28,""en"",""vi""),'Use Case Tracker'!C28))"),"Luồng 3")</f>
        <v>Luồng 3</v>
      </c>
      <c r="D25" s="40" t="str">
        <f>IFERROR(__xludf.DUMMYFUNCTION("IF('Use Case Tracker'!D28="""","""",IFERROR(GOOGLETRANSLATE('Use Case Tracker'!D28,""en"",""vi""),'Use Case Tracker'!D28))"),"Tài chính")</f>
        <v>Tài chính</v>
      </c>
      <c r="E25" s="40" t="str">
        <f>IFERROR(__xludf.DUMMYFUNCTION("IF('Use Case Tracker'!E28="""","""",IFERROR(GOOGLETRANSLATE('Use Case Tracker'!E28,""en"",""vi""),'Use Case Tracker'!E28))"),"Thành viên gia đình")</f>
        <v>Thành viên gia đình</v>
      </c>
      <c r="F25" s="40" t="str">
        <f>IFERROR(__xludf.DUMMYFUNCTION("IF('Use Case Tracker'!F28="""","""",IFERROR(GOOGLETRANSLATE('Use Case Tracker'!F28,""en"",""vi""),'Use Case Tracker'!F28))"),"Thành viên gia đình ghi lại thu nhập và chi tiêu cá nhân thực tế để theo dõi tài chính cá nhân nếu được phép.")</f>
        <v>Thành viên gia đình ghi lại thu nhập và chi tiêu cá nhân thực tế để theo dõi tài chính cá nhân nếu được phép.</v>
      </c>
      <c r="G25" s="40" t="str">
        <f>IF('Use Case Tracker'!G28="","",SWITCH('Use Case Tracker'!G28,"Must-have","Bắt buộc","Should-have","Nên có","Could-have","Có thể có",'Use Case Tracker'!G28))</f>
        <v>Bắt buộc</v>
      </c>
      <c r="H25" s="40" t="str">
        <f>IF('Use Case Tracker'!H28="","",SWITCH('Use Case Tracker'!H28,"Not Started","Chưa bắt đầu","In Progress","Đang làm","Done","Hoàn thành",'Use Case Tracker'!H28))</f>
        <v>Chưa bắt đầu</v>
      </c>
      <c r="J25" s="40" t="str">
        <f>IF('Use Case Tracker'!J28="","",'Use Case Tracker'!J28)</f>
        <v>BR-FIN-05, BR-FIN-06</v>
      </c>
      <c r="K25" s="40" t="str">
        <f>IFERROR(__xludf.DUMMYFUNCTION("IF('Use Case Tracker'!K28="""","""",IFERROR(GOOGLETRANSLATE('Use Case Tracker'!K28,""en"",""vi""),'Use Case Tracker'!K28))"),"Phạm vi tài chính cốt lõi sau Đánh giá 1: lập kế hoạch ngân sách, theo dõi chi tiêu thực tế, so sánh kế hoạch với thực tế và cảnh báo ngân sách.")</f>
        <v>Phạm vi tài chính cốt lõi sau Đánh giá 1: lập kế hoạch ngân sách, theo dõi chi tiêu thực tế, so sánh kế hoạch với thực tế và cảnh báo ngân sách.</v>
      </c>
      <c r="L25" s="40" t="str">
        <f>IF('Use Case Tracker'!L28="","",SWITCH('Use Case Tracker'!L28,"Keep","Giữ trong scope","Could-have / Do after core","Có thể có / Làm sau core",'Use Case Tracker'!L28))</f>
        <v>Giữ trong scope</v>
      </c>
    </row>
    <row r="26" ht="22.5" customHeight="1">
      <c r="A26" s="40" t="str">
        <f>IF('Use Case Tracker'!A29="","",'Use Case Tracker'!A29)</f>
        <v>UC28</v>
      </c>
      <c r="B26" s="40" t="str">
        <f>IFERROR(__xludf.DUMMYFUNCTION("IF('Use Case Tracker'!B29="""","""",IFERROR(GOOGLETRANSLATE('Use Case Tracker'!B29,""en"",""vi""),'Use Case Tracker'!B29))"),"Ghi lại chi phí thực tế chung của gia đình")</f>
        <v>Ghi lại chi phí thực tế chung của gia đình</v>
      </c>
      <c r="C26" s="40" t="str">
        <f>IFERROR(__xludf.DUMMYFUNCTION("IF('Use Case Tracker'!C29="""","""",IFERROR(GOOGLETRANSLATE('Use Case Tracker'!C29,""en"",""vi""),'Use Case Tracker'!C29))"),"Luồng 3")</f>
        <v>Luồng 3</v>
      </c>
      <c r="D26" s="40" t="str">
        <f>IFERROR(__xludf.DUMMYFUNCTION("IF('Use Case Tracker'!D29="""","""",IFERROR(GOOGLETRANSLATE('Use Case Tracker'!D29,""en"",""vi""),'Use Case Tracker'!D29))"),"Tài chính")</f>
        <v>Tài chính</v>
      </c>
      <c r="E26" s="40" t="str">
        <f>IFERROR(__xludf.DUMMYFUNCTION("IF('Use Case Tracker'!E29="""","""",IFERROR(GOOGLETRANSLATE('Use Case Tracker'!E29,""en"",""vi""),'Use Case Tracker'!E29))"),"Người quản lý gia đình / Thành viên gia đình được ủy quyền thay mặt")</f>
        <v>Người quản lý gia đình / Thành viên gia đình được ủy quyền thay mặt</v>
      </c>
      <c r="F26" s="40" t="str">
        <f>IFERROR(__xludf.DUMMYFUNCTION("IF('Use Case Tracker'!F29="""","""",IFERROR(GOOGLETRANSLATE('Use Case Tracker'!F29,""en"",""vi""),'Use Case Tracker'!F29))"),"Ghi lại các khoản chi tiêu chung thực tế của gia đình vào sổ quỹ gia đình để theo dõi/báo cáo so sánh kế hoạch và thực tế. Hệ thống không giữ hoặc thanh toán tiền thật.")</f>
        <v>Ghi lại các khoản chi tiêu chung thực tế của gia đình vào sổ quỹ gia đình để theo dõi/báo cáo so sánh kế hoạch và thực tế. Hệ thống không giữ hoặc thanh toán tiền thật.</v>
      </c>
      <c r="G26" s="40" t="str">
        <f>IF('Use Case Tracker'!G29="","",SWITCH('Use Case Tracker'!G29,"Must-have","Bắt buộc","Should-have","Nên có","Could-have","Có thể có",'Use Case Tracker'!G29))</f>
        <v>Bắt buộc</v>
      </c>
      <c r="H26" s="40" t="str">
        <f>IF('Use Case Tracker'!H29="","",SWITCH('Use Case Tracker'!H29,"Not Started","Chưa bắt đầu","In Progress","Đang làm","Done","Hoàn thành",'Use Case Tracker'!H29))</f>
        <v>Chưa bắt đầu</v>
      </c>
      <c r="J26" s="40" t="str">
        <f>IF('Use Case Tracker'!J29="","",'Use Case Tracker'!J29)</f>
        <v>BR-FIN-01, BR-FIN-04, BR-FIN-07</v>
      </c>
      <c r="K26" s="40" t="str">
        <f>IFERROR(__xludf.DUMMYFUNCTION("IF('Use Case Tracker'!K29="""","""",IFERROR(GOOGLETRANSLATE('Use Case Tracker'!K29,""en"",""vi""),'Use Case Tracker'!K29))"),"Các khoản chi phí thực tế được chia sẻ chỉ được ghi vào sổ quỹ gia đình; hệ thống không nắm giữ tiền mặt thực tế nào.")</f>
        <v>Các khoản chi phí thực tế được chia sẻ chỉ được ghi vào sổ quỹ gia đình; hệ thống không nắm giữ tiền mặt thực tế nào.</v>
      </c>
      <c r="L26" s="40" t="str">
        <f>IF('Use Case Tracker'!L29="","",SWITCH('Use Case Tracker'!L29,"Keep","Giữ trong scope","Could-have / Do after core","Có thể có / Làm sau core",'Use Case Tracker'!L29))</f>
        <v>Giữ trong scope</v>
      </c>
    </row>
    <row r="27" ht="22.5" customHeight="1">
      <c r="A27" s="40" t="str">
        <f>IF('Use Case Tracker'!A30="","",'Use Case Tracker'!A30)</f>
        <v>UC29</v>
      </c>
      <c r="B27" s="40" t="str">
        <f>IFERROR(__xludf.DUMMYFUNCTION("IF('Use Case Tracker'!B30="""","""",IFERROR(GOOGLETRANSLATE('Use Case Tracker'!B30,""en"",""vi""),'Use Case Tracker'!B30))"),"Xem báo cáo tài chính và quỹ gia đình thực tế")</f>
        <v>Xem báo cáo tài chính và quỹ gia đình thực tế</v>
      </c>
      <c r="C27" s="40" t="str">
        <f>IFERROR(__xludf.DUMMYFUNCTION("IF('Use Case Tracker'!C30="""","""",IFERROR(GOOGLETRANSLATE('Use Case Tracker'!C30,""en"",""vi""),'Use Case Tracker'!C30))"),"Luồng 3")</f>
        <v>Luồng 3</v>
      </c>
      <c r="D27" s="40" t="str">
        <f>IFERROR(__xludf.DUMMYFUNCTION("IF('Use Case Tracker'!D30="""","""",IFERROR(GOOGLETRANSLATE('Use Case Tracker'!D30,""en"",""vi""),'Use Case Tracker'!D30))"),"Tài chính")</f>
        <v>Tài chính</v>
      </c>
      <c r="E27" s="40" t="str">
        <f>IFERROR(__xludf.DUMMYFUNCTION("IF('Use Case Tracker'!E30="""","""",IFERROR(GOOGLETRANSLATE('Use Case Tracker'!E30,""en"",""vi""),'Use Case Tracker'!E30))"),"Người quản lý gia đình / Thành viên gia đình được ủy quyền thay mặt")</f>
        <v>Người quản lý gia đình / Thành viên gia đình được ủy quyền thay mặt</v>
      </c>
      <c r="F27" s="40" t="str">
        <f>IFERROR(__xludf.DUMMYFUNCTION("IF('Use Case Tracker'!F30="""","""",IFERROR(GOOGLETRANSLATE('Use Case Tracker'!F30,""en"",""vi""),'Use Case Tracker'!F30))"),"Xem tình hình tài chính chung thực tế, số dư quỹ gia đình và so sánh giữa kế hoạch và thực tế; thông tin cá nhân chỉ được hiển thị theo quy định về quyền riêng tư/quyền cho phép.")</f>
        <v>Xem tình hình tài chính chung thực tế, số dư quỹ gia đình và so sánh giữa kế hoạch và thực tế; thông tin cá nhân chỉ được hiển thị theo quy định về quyền riêng tư/quyền cho phép.</v>
      </c>
      <c r="G27" s="40" t="str">
        <f>IF('Use Case Tracker'!G30="","",SWITCH('Use Case Tracker'!G30,"Must-have","Bắt buộc","Should-have","Nên có","Could-have","Có thể có",'Use Case Tracker'!G30))</f>
        <v>Bắt buộc</v>
      </c>
      <c r="H27" s="40" t="str">
        <f>IF('Use Case Tracker'!H30="","",SWITCH('Use Case Tracker'!H30,"Not Started","Chưa bắt đầu","In Progress","Đang làm","Done","Hoàn thành",'Use Case Tracker'!H30))</f>
        <v>Chưa bắt đầu</v>
      </c>
      <c r="J27" s="40" t="str">
        <f>IF('Use Case Tracker'!J30="","",'Use Case Tracker'!J30)</f>
        <v>BR-FIN-01, BR-FIN-05, BR-FIN-06, BR-FIN-07</v>
      </c>
      <c r="K27" s="40" t="str">
        <f>IFERROR(__xludf.DUMMYFUNCTION("IF('Use Case Tracker'!K30="""","""",IFERROR(GOOGLETRANSLATE('Use Case Tracker'!K30,""en"",""vi""),'Use Case Tracker'!K30))"),"Báo cáo tập trung vào so sánh kế hoạch với thực tế, số dư sổ cái quỹ và tóm tắt tài chính đảm bảo tính bảo mật.")</f>
        <v>Báo cáo tập trung vào so sánh kế hoạch với thực tế, số dư sổ cái quỹ và tóm tắt tài chính đảm bảo tính bảo mật.</v>
      </c>
      <c r="L27" s="40" t="str">
        <f>IF('Use Case Tracker'!L30="","",SWITCH('Use Case Tracker'!L30,"Keep","Giữ trong scope","Could-have / Do after core","Có thể có / Làm sau core",'Use Case Tracker'!L30))</f>
        <v>Giữ trong scope</v>
      </c>
    </row>
    <row r="28" ht="22.5" customHeight="1">
      <c r="A28" s="40" t="str">
        <f>IF('Use Case Tracker'!A31="","",'Use Case Tracker'!A31)</f>
        <v>UC30</v>
      </c>
      <c r="B28" s="40" t="str">
        <f>IFERROR(__xludf.DUMMYFUNCTION("IF('Use Case Tracker'!B31="""","""",IFERROR(GOOGLETRANSLATE('Use Case Tracker'!B31,""en"",""vi""),'Use Case Tracker'!B31))"),"Xem cảnh báo ngân sách")</f>
        <v>Xem cảnh báo ngân sách</v>
      </c>
      <c r="C28" s="40" t="str">
        <f>IFERROR(__xludf.DUMMYFUNCTION("IF('Use Case Tracker'!C31="""","""",IFERROR(GOOGLETRANSLATE('Use Case Tracker'!C31,""en"",""vi""),'Use Case Tracker'!C31))"),"Luồng 3")</f>
        <v>Luồng 3</v>
      </c>
      <c r="D28" s="40" t="str">
        <f>IFERROR(__xludf.DUMMYFUNCTION("IF('Use Case Tracker'!D31="""","""",IFERROR(GOOGLETRANSLATE('Use Case Tracker'!D31,""en"",""vi""),'Use Case Tracker'!D31))"),"Tài chính")</f>
        <v>Tài chính</v>
      </c>
      <c r="E28" s="40" t="str">
        <f>IFERROR(__xludf.DUMMYFUNCTION("IF('Use Case Tracker'!E31="""","""",IFERROR(GOOGLETRANSLATE('Use Case Tracker'!E31,""en"",""vi""),'Use Case Tracker'!E31))"),"Người quản lý gia đình / Thành viên gia đình được ủy quyền thay mặt")</f>
        <v>Người quản lý gia đình / Thành viên gia đình được ủy quyền thay mặt</v>
      </c>
      <c r="F28" s="40" t="str">
        <f>IFERROR(__xludf.DUMMYFUNCTION("IF('Use Case Tracker'!F31="""","""",IFERROR(GOOGLETRANSLATE('Use Case Tracker'!F31,""en"",""vi""),'Use Case Tracker'!F31))"),"Nhận thông báo khi chi phí chung thực tế vượt quá kế hoạch hoặc quỹ gia đình có nguy cơ thiếu hụt.")</f>
        <v>Nhận thông báo khi chi phí chung thực tế vượt quá kế hoạch hoặc quỹ gia đình có nguy cơ thiếu hụt.</v>
      </c>
      <c r="G28" s="40" t="str">
        <f>IF('Use Case Tracker'!G31="","",SWITCH('Use Case Tracker'!G31,"Must-have","Bắt buộc","Should-have","Nên có","Could-have","Có thể có",'Use Case Tracker'!G31))</f>
        <v>Bắt buộc</v>
      </c>
      <c r="H28" s="40" t="str">
        <f>IF('Use Case Tracker'!H31="","",SWITCH('Use Case Tracker'!H31,"Not Started","Chưa bắt đầu","In Progress","Đang làm","Done","Hoàn thành",'Use Case Tracker'!H31))</f>
        <v>Chưa bắt đầu</v>
      </c>
      <c r="J28" s="40" t="str">
        <f>IF('Use Case Tracker'!J31="","",'Use Case Tracker'!J31)</f>
        <v>BR-FIN-05, BR-FIN-06</v>
      </c>
      <c r="K28" s="40" t="str">
        <f>IFERROR(__xludf.DUMMYFUNCTION("IF('Use Case Tracker'!K31="""","""",IFERROR(GOOGLETRANSLATE('Use Case Tracker'!K31,""en"",""vi""),'Use Case Tracker'!K31))"),"Các cảnh báo về ngân sách là một phần giá trị tài chính cốt lõi sau Đánh giá 1.")</f>
        <v>Các cảnh báo về ngân sách là một phần giá trị tài chính cốt lõi sau Đánh giá 1.</v>
      </c>
      <c r="L28" s="40" t="str">
        <f>IF('Use Case Tracker'!L31="","",SWITCH('Use Case Tracker'!L31,"Keep","Giữ trong scope","Could-have / Do after core","Có thể có / Làm sau core",'Use Case Tracker'!L31))</f>
        <v>Giữ trong scope</v>
      </c>
    </row>
    <row r="29" ht="22.5" customHeight="1">
      <c r="A29" s="40" t="str">
        <f>IF('Use Case Tracker'!A32="","",'Use Case Tracker'!A32)</f>
        <v>UC31</v>
      </c>
      <c r="B29" s="40" t="str">
        <f>IFERROR(__xludf.DUMMYFUNCTION("IF('Use Case Tracker'!B32="""","""",IFERROR(GOOGLETRANSLATE('Use Case Tracker'!B32,""en"",""vi""),'Use Case Tracker'!B32))"),"Quản lý sổ quỹ gia đình")</f>
        <v>Quản lý sổ quỹ gia đình</v>
      </c>
      <c r="C29" s="40" t="str">
        <f>IFERROR(__xludf.DUMMYFUNCTION("IF('Use Case Tracker'!C32="""","""",IFERROR(GOOGLETRANSLATE('Use Case Tracker'!C32,""en"",""vi""),'Use Case Tracker'!C32))"),"Luồng 3")</f>
        <v>Luồng 3</v>
      </c>
      <c r="D29" s="40" t="str">
        <f>IFERROR(__xludf.DUMMYFUNCTION("IF('Use Case Tracker'!D32="""","""",IFERROR(GOOGLETRANSLATE('Use Case Tracker'!D32,""en"",""vi""),'Use Case Tracker'!D32))"),"Tài chính / Quỹ gia đình")</f>
        <v>Tài chính / Quỹ gia đình</v>
      </c>
      <c r="E29" s="40" t="str">
        <f>IFERROR(__xludf.DUMMYFUNCTION("IF('Use Case Tracker'!E32="""","""",IFERROR(GOOGLETRANSLATE('Use Case Tracker'!E32,""en"",""vi""),'Use Case Tracker'!E32))"),"Người quản lý gia đình / Thành viên gia đình được ủy quyền thay mặt")</f>
        <v>Người quản lý gia đình / Thành viên gia đình được ủy quyền thay mặt</v>
      </c>
      <c r="F29" s="40" t="str">
        <f>IFERROR(__xludf.DUMMYFUNCTION("IF('Use Case Tracker'!F32="""","""",IFERROR(GOOGLETRANSLATE('Use Case Tracker'!F32,""en"",""vi""),'Use Case Tracker'!F32))"),"Quản lý sổ sách kế toán nội bộ quỹ gia đình để theo dõi kế hoạch gia đình, tiền tiêu vặt và phần thưởng. Đây không phải là ví điện tử thực sự.")</f>
        <v>Quản lý sổ sách kế toán nội bộ quỹ gia đình để theo dõi kế hoạch gia đình, tiền tiêu vặt và phần thưởng. Đây không phải là ví điện tử thực sự.</v>
      </c>
      <c r="G29" s="40" t="str">
        <f>IF('Use Case Tracker'!G32="","",SWITCH('Use Case Tracker'!G32,"Must-have","Bắt buộc","Should-have","Nên có","Could-have","Có thể có",'Use Case Tracker'!G32))</f>
        <v>Bắt buộc</v>
      </c>
      <c r="H29" s="40" t="str">
        <f>IF('Use Case Tracker'!H32="","",SWITCH('Use Case Tracker'!H32,"Not Started","Chưa bắt đầu","In Progress","Đang làm","Done","Hoàn thành",'Use Case Tracker'!H32))</f>
        <v>Chưa bắt đầu</v>
      </c>
      <c r="J29" s="40" t="str">
        <f>IF('Use Case Tracker'!J32="","",'Use Case Tracker'!J32)</f>
        <v>BR-FIN-01, BR-FIN-04, BR-FIN-07, BR-FIN-08</v>
      </c>
      <c r="K29" s="40" t="str">
        <f>IFERROR(__xludf.DUMMYFUNCTION("IF('Use Case Tracker'!K32="""","""",IFERROR(GOOGLETRANSLATE('Use Case Tracker'!K32,""en"",""vi""),'Use Case Tracker'!K32))"),"Điều này thay thế khái niệm nạp tiền vào ví cũ. Đây là một bản ghi sổ cái, không phải là một giao dịch thanh toán.")</f>
        <v>Điều này thay thế khái niệm nạp tiền vào ví cũ. Đây là một bản ghi sổ cái, không phải là một giao dịch thanh toán.</v>
      </c>
      <c r="L29" s="40" t="str">
        <f>IF('Use Case Tracker'!L32="","",SWITCH('Use Case Tracker'!L32,"Keep","Giữ trong scope","Could-have / Do after core","Có thể có / Làm sau core",'Use Case Tracker'!L32))</f>
        <v>Keep, standardized as internal ledger scope after Review 1</v>
      </c>
    </row>
    <row r="30" ht="22.5" customHeight="1">
      <c r="A30" s="40" t="str">
        <f>IF('Use Case Tracker'!A33="","",'Use Case Tracker'!A33)</f>
        <v>UC32</v>
      </c>
      <c r="B30" s="40" t="str">
        <f>IFERROR(__xludf.DUMMYFUNCTION("IF('Use Case Tracker'!B33="""","""",IFERROR(GOOGLETRANSLATE('Use Case Tracker'!B33,""en"",""vi""),'Use Case Tracker'!B33))"),"Ghi nhận khoản đóng góp vào Quỹ Gia đình")</f>
        <v>Ghi nhận khoản đóng góp vào Quỹ Gia đình</v>
      </c>
      <c r="C30" s="40" t="str">
        <f>IFERROR(__xludf.DUMMYFUNCTION("IF('Use Case Tracker'!C33="""","""",IFERROR(GOOGLETRANSLATE('Use Case Tracker'!C33,""en"",""vi""),'Use Case Tracker'!C33))"),"Luồng 3")</f>
        <v>Luồng 3</v>
      </c>
      <c r="D30" s="40" t="str">
        <f>IFERROR(__xludf.DUMMYFUNCTION("IF('Use Case Tracker'!D33="""","""",IFERROR(GOOGLETRANSLATE('Use Case Tracker'!D33,""en"",""vi""),'Use Case Tracker'!D33))"),"Tài chính / Quỹ gia đình")</f>
        <v>Tài chính / Quỹ gia đình</v>
      </c>
      <c r="E30" s="40" t="str">
        <f>IFERROR(__xludf.DUMMYFUNCTION("IF('Use Case Tracker'!E33="""","""",IFERROR(GOOGLETRANSLATE('Use Case Tracker'!E33,""en"",""vi""),'Use Case Tracker'!E33))"),"Người quản lý gia đình / Thành viên gia đình được ủy quyền thay mặt")</f>
        <v>Người quản lý gia đình / Thành viên gia đình được ủy quyền thay mặt</v>
      </c>
      <c r="F30" s="40" t="str">
        <f>IFERROR(__xludf.DUMMYFUNCTION("IF('Use Case Tracker'!F33="""","""",IFERROR(GOOGLETRANSLATE('Use Case Tracker'!F33,""en"",""vi""),'Use Case Tracker'!F33))"),"Ghi nhận khoản đóng góp vào sổ cái quỹ gia đình chỉ nhằm mục đích lập kế hoạch và theo dõi.")</f>
        <v>Ghi nhận khoản đóng góp vào sổ cái quỹ gia đình chỉ nhằm mục đích lập kế hoạch và theo dõi.</v>
      </c>
      <c r="G30" s="40" t="str">
        <f>IF('Use Case Tracker'!G33="","",SWITCH('Use Case Tracker'!G33,"Must-have","Bắt buộc","Should-have","Nên có","Could-have","Có thể có",'Use Case Tracker'!G33))</f>
        <v>Bắt buộc</v>
      </c>
      <c r="H30" s="40" t="str">
        <f>IF('Use Case Tracker'!H33="","",SWITCH('Use Case Tracker'!H33,"Not Started","Chưa bắt đầu","In Progress","Đang làm","Done","Hoàn thành",'Use Case Tracker'!H33))</f>
        <v>Chưa bắt đầu</v>
      </c>
      <c r="J30" s="40" t="str">
        <f>IF('Use Case Tracker'!J33="","",'Use Case Tracker'!J33)</f>
        <v>BR-FIN-01, BR-FIN-04, BR-FIN-07, BR-FIN-08</v>
      </c>
      <c r="K30" s="40" t="str">
        <f>IFERROR(__xludf.DUMMYFUNCTION("IF('Use Case Tracker'!K33="""","""",IFERROR(GOOGLETRANSLATE('Use Case Tracker'!K33,""en"",""vi""),'Use Case Tracker'!K33))"),"Mục này thay thế mục Ghi nhận khoản đóng góp vào Quỹ Gia đình. Đây là một bản ghi sổ cái, không phải là giao dịch thanh toán.")</f>
        <v>Mục này thay thế mục Ghi nhận khoản đóng góp vào Quỹ Gia đình. Đây là một bản ghi sổ cái, không phải là giao dịch thanh toán.</v>
      </c>
      <c r="L30" s="40" t="str">
        <f>IF('Use Case Tracker'!L33="","",SWITCH('Use Case Tracker'!L33,"Keep","Giữ trong scope","Could-have / Do after core","Có thể có / Làm sau core",'Use Case Tracker'!L33))</f>
        <v>Keep, standardized as internal ledger scope after Review 1</v>
      </c>
    </row>
    <row r="31" ht="22.5" customHeight="1">
      <c r="A31" s="40" t="str">
        <f>IF('Use Case Tracker'!A34="","",'Use Case Tracker'!A34)</f>
        <v>UC33</v>
      </c>
      <c r="B31" s="40" t="str">
        <f>IFERROR(__xludf.DUMMYFUNCTION("IF('Use Case Tracker'!B34="""","""",IFERROR(GOOGLETRANSLATE('Use Case Tracker'!B34,""en"",""vi""),'Use Case Tracker'!B34))"),"Phân bổ phụ cấp/thưởng nội bộ")</f>
        <v>Phân bổ phụ cấp/thưởng nội bộ</v>
      </c>
      <c r="C31" s="40" t="str">
        <f>IFERROR(__xludf.DUMMYFUNCTION("IF('Use Case Tracker'!C34="""","""",IFERROR(GOOGLETRANSLATE('Use Case Tracker'!C34,""en"",""vi""),'Use Case Tracker'!C34))"),"Luồng 3")</f>
        <v>Luồng 3</v>
      </c>
      <c r="D31" s="40" t="str">
        <f>IFERROR(__xludf.DUMMYFUNCTION("IF('Use Case Tracker'!D34="""","""",IFERROR(GOOGLETRANSLATE('Use Case Tracker'!D34,""en"",""vi""),'Use Case Tracker'!D34))"),"Tài chính / Thưởng")</f>
        <v>Tài chính / Thưởng</v>
      </c>
      <c r="E31" s="40" t="str">
        <f>IFERROR(__xludf.DUMMYFUNCTION("IF('Use Case Tracker'!E34="""","""",IFERROR(GOOGLETRANSLATE('Use Case Tracker'!E34,""en"",""vi""),'Use Case Tracker'!E34))"),"Người quản lý gia đình / Thành viên gia đình được ủy quyền thay mặt")</f>
        <v>Người quản lý gia đình / Thành viên gia đình được ủy quyền thay mặt</v>
      </c>
      <c r="F31" s="40" t="str">
        <f>IFERROR(__xludf.DUMMYFUNCTION("IF('Use Case Tracker'!F34="""","""",IFERROR(GOOGLETRANSLATE('Use Case Tracker'!F34,""en"",""vi""),'Use Case Tracker'!F34))"),"Phân bổ khoản phụ cấp nội bộ hoặc phần thưởng nhiệm vụ cho một thành viên trong gia đình để theo dõi tiến độ.")</f>
        <v>Phân bổ khoản phụ cấp nội bộ hoặc phần thưởng nhiệm vụ cho một thành viên trong gia đình để theo dõi tiến độ.</v>
      </c>
      <c r="G31" s="40" t="str">
        <f>IF('Use Case Tracker'!G34="","",SWITCH('Use Case Tracker'!G34,"Must-have","Bắt buộc","Should-have","Nên có","Could-have","Có thể có",'Use Case Tracker'!G34))</f>
        <v>Bắt buộc</v>
      </c>
      <c r="H31" s="40" t="str">
        <f>IF('Use Case Tracker'!H34="","",SWITCH('Use Case Tracker'!H34,"Not Started","Chưa bắt đầu","In Progress","Đang làm","Done","Hoàn thành",'Use Case Tracker'!H34))</f>
        <v>Chưa bắt đầu</v>
      </c>
      <c r="J31" s="40" t="str">
        <f>IF('Use Case Tracker'!J34="","",'Use Case Tracker'!J34)</f>
        <v>BR-FIN-01, BR-FIN-04, BR-FIN-07</v>
      </c>
      <c r="K31" s="40" t="str">
        <f>IFERROR(__xludf.DUMMYFUNCTION("IF('Use Case Tracker'!K34="""","""",IFERROR(GOOGLETRANSLATE('Use Case Tracker'!K34,""en"",""vi""),'Use Case Tracker'!K34))"),"Khoản phụ cấp/thưởng chỉ là hồ sơ nội bộ; không thể rút tiền mặt thực tế.")</f>
        <v>Khoản phụ cấp/thưởng chỉ là hồ sơ nội bộ; không thể rút tiền mặt thực tế.</v>
      </c>
      <c r="L31" s="40" t="str">
        <f>IF('Use Case Tracker'!L34="","",SWITCH('Use Case Tracker'!L34,"Keep","Giữ trong scope","Could-have / Do after core","Có thể có / Làm sau core",'Use Case Tracker'!L34))</f>
        <v>Keep, standardized as spending support request after Review 1</v>
      </c>
    </row>
    <row r="32" ht="22.5" customHeight="1">
      <c r="A32" s="40" t="str">
        <f>IF('Use Case Tracker'!A35="","",'Use Case Tracker'!A35)</f>
        <v>UC34</v>
      </c>
      <c r="B32" s="40" t="str">
        <f>IFERROR(__xludf.DUMMYFUNCTION("IF('Use Case Tracker'!B35="""","""",IFERROR(GOOGLETRANSLATE('Use Case Tracker'!B35,""en"",""vi""),'Use Case Tracker'!B35))"),"Gửi yêu cầu hỗ trợ chi tiêu")</f>
        <v>Gửi yêu cầu hỗ trợ chi tiêu</v>
      </c>
      <c r="C32" s="40" t="str">
        <f>IFERROR(__xludf.DUMMYFUNCTION("IF('Use Case Tracker'!C35="""","""",IFERROR(GOOGLETRANSLATE('Use Case Tracker'!C35,""en"",""vi""),'Use Case Tracker'!C35))"),"Luồng 3")</f>
        <v>Luồng 3</v>
      </c>
      <c r="D32" s="40" t="str">
        <f>IFERROR(__xludf.DUMMYFUNCTION("IF('Use Case Tracker'!D35="""","""",IFERROR(GOOGLETRANSLATE('Use Case Tracker'!D35,""en"",""vi""),'Use Case Tracker'!D35))"),"Tài chính / Yêu cầu")</f>
        <v>Tài chính / Yêu cầu</v>
      </c>
      <c r="E32" s="40" t="str">
        <f>IFERROR(__xludf.DUMMYFUNCTION("IF('Use Case Tracker'!E35="""","""",IFERROR(GOOGLETRANSLATE('Use Case Tracker'!E35,""en"",""vi""),'Use Case Tracker'!E35))"),"Thành viên gia đình")</f>
        <v>Thành viên gia đình</v>
      </c>
      <c r="F32" s="40" t="str">
        <f>IFERROR(__xludf.DUMMYFUNCTION("IF('Use Case Tracker'!F35="""","""",IFERROR(GOOGLETRANSLATE('Use Case Tracker'!F35,""en"",""vi""),'Use Case Tracker'!F35))"),"Thành viên gia đình gửi yêu cầu hỗ trợ chi tiêu để người quản lý gia đình hoặc người được ủy quyền xem xét.")</f>
        <v>Thành viên gia đình gửi yêu cầu hỗ trợ chi tiêu để người quản lý gia đình hoặc người được ủy quyền xem xét.</v>
      </c>
      <c r="G32" s="40" t="str">
        <f>IF('Use Case Tracker'!G35="","",SWITCH('Use Case Tracker'!G35,"Must-have","Bắt buộc","Should-have","Nên có","Could-have","Có thể có",'Use Case Tracker'!G35))</f>
        <v>Bắt buộc</v>
      </c>
      <c r="H32" s="40" t="str">
        <f>IF('Use Case Tracker'!H35="","",SWITCH('Use Case Tracker'!H35,"Not Started","Chưa bắt đầu","In Progress","Đang làm","Done","Hoàn thành",'Use Case Tracker'!H35))</f>
        <v>Chưa bắt đầu</v>
      </c>
      <c r="J32" s="40" t="str">
        <f>IF('Use Case Tracker'!J35="","",'Use Case Tracker'!J35)</f>
        <v>BR-FIN-02, BR-FIN-07</v>
      </c>
      <c r="K32" s="40" t="str">
        <f>IFERROR(__xludf.DUMMYFUNCTION("IF('Use Case Tracker'!K35="""","""",IFERROR(GOOGLETRANSLATE('Use Case Tracker'!K35,""en"",""vi""),'Use Case Tracker'!K35))"),"Yêu cầu này chỉ tạo ra quy trình phê duyệt và ghi lại thông tin, không trực tiếp rút tiền mặt.")</f>
        <v>Yêu cầu này chỉ tạo ra quy trình phê duyệt và ghi lại thông tin, không trực tiếp rút tiền mặt.</v>
      </c>
      <c r="L32" s="40" t="str">
        <f>IF('Use Case Tracker'!L35="","",SWITCH('Use Case Tracker'!L35,"Keep","Giữ trong scope","Could-have / Do after core","Có thể có / Làm sau core",'Use Case Tracker'!L35))</f>
        <v>Keep, standardized as spending support request after Review 1</v>
      </c>
    </row>
    <row r="33" ht="22.5" customHeight="1">
      <c r="A33" s="40" t="str">
        <f>IF('Use Case Tracker'!A36="","",'Use Case Tracker'!A36)</f>
        <v>UC35</v>
      </c>
      <c r="B33" s="40" t="str">
        <f>IFERROR(__xludf.DUMMYFUNCTION("IF('Use Case Tracker'!B36="""","""",IFERROR(GOOGLETRANSLATE('Use Case Tracker'!B36,""en"",""vi""),'Use Case Tracker'!B36))"),"Phê duyệt hoặc từ chối yêu cầu hỗ trợ chi tiêu")</f>
        <v>Phê duyệt hoặc từ chối yêu cầu hỗ trợ chi tiêu</v>
      </c>
      <c r="C33" s="40" t="str">
        <f>IFERROR(__xludf.DUMMYFUNCTION("IF('Use Case Tracker'!C36="""","""",IFERROR(GOOGLETRANSLATE('Use Case Tracker'!C36,""en"",""vi""),'Use Case Tracker'!C36))"),"Luồng 3")</f>
        <v>Luồng 3</v>
      </c>
      <c r="D33" s="40" t="str">
        <f>IFERROR(__xludf.DUMMYFUNCTION("IF('Use Case Tracker'!D36="""","""",IFERROR(GOOGLETRANSLATE('Use Case Tracker'!D36,""en"",""vi""),'Use Case Tracker'!D36))"),"Tài chính / Yêu cầu")</f>
        <v>Tài chính / Yêu cầu</v>
      </c>
      <c r="E33" s="40" t="str">
        <f>IFERROR(__xludf.DUMMYFUNCTION("IF('Use Case Tracker'!E36="""","""",IFERROR(GOOGLETRANSLATE('Use Case Tracker'!E36,""en"",""vi""),'Use Case Tracker'!E36))"),"Người quản lý gia đình / Thành viên gia đình được ủy quyền thay mặt")</f>
        <v>Người quản lý gia đình / Thành viên gia đình được ủy quyền thay mặt</v>
      </c>
      <c r="F33" s="40" t="str">
        <f>IFERROR(__xludf.DUMMYFUNCTION("IF('Use Case Tracker'!F36="""","""",IFERROR(GOOGLETRANSLATE('Use Case Tracker'!F36,""en"",""vi""),'Use Case Tracker'!F36))"),"Phê duyệt hoặc từ chối yêu cầu hỗ trợ chi tiêu và tạo các bản ghi sổ quỹ gia đình liên quan nếu được phê duyệt.")</f>
        <v>Phê duyệt hoặc từ chối yêu cầu hỗ trợ chi tiêu và tạo các bản ghi sổ quỹ gia đình liên quan nếu được phê duyệt.</v>
      </c>
      <c r="G33" s="40" t="str">
        <f>IF('Use Case Tracker'!G36="","",SWITCH('Use Case Tracker'!G36,"Must-have","Bắt buộc","Should-have","Nên có","Could-have","Có thể có",'Use Case Tracker'!G36))</f>
        <v>Bắt buộc</v>
      </c>
      <c r="H33" s="40" t="str">
        <f>IF('Use Case Tracker'!H36="","",SWITCH('Use Case Tracker'!H36,"Not Started","Chưa bắt đầu","In Progress","Đang làm","Done","Hoàn thành",'Use Case Tracker'!H36))</f>
        <v>Chưa bắt đầu</v>
      </c>
      <c r="J33" s="40" t="str">
        <f>IF('Use Case Tracker'!J36="","",'Use Case Tracker'!J36)</f>
        <v>BR-FIN-02, BR-FIN-03, BR-FIN-04, BR-FIN-07</v>
      </c>
      <c r="K33" s="40" t="str">
        <f>IFERROR(__xludf.DUMMYFUNCTION("IF('Use Case Tracker'!K36="""","""",IFERROR(GOOGLETRANSLATE('Use Case Tracker'!K36,""en"",""vi""),'Use Case Tracker'!K36))"),"Việc phê duyệt chỉ cập nhật sổ cái nội bộ/bản ghi trợ cấp.")</f>
        <v>Việc phê duyệt chỉ cập nhật sổ cái nội bộ/bản ghi trợ cấp.</v>
      </c>
      <c r="L33" s="40" t="str">
        <f>IF('Use Case Tracker'!L36="","",SWITCH('Use Case Tracker'!L36,"Keep","Giữ trong scope","Could-have / Do after core","Có thể có / Làm sau core",'Use Case Tracker'!L36))</f>
        <v>Keep, standardized as internal ledger history after Review 1</v>
      </c>
    </row>
    <row r="34" ht="22.5" customHeight="1">
      <c r="A34" s="40" t="str">
        <f>IF('Use Case Tracker'!A37="","",'Use Case Tracker'!A37)</f>
        <v>UC36</v>
      </c>
      <c r="B34" s="40" t="str">
        <f>IFERROR(__xludf.DUMMYFUNCTION("IF('Use Case Tracker'!B37="""","""",IFERROR(GOOGLETRANSLATE('Use Case Tracker'!B37,""en"",""vi""),'Use Case Tracker'!B37))"),"Xem lịch sử quỹ gia đình và trợ cấp")</f>
        <v>Xem lịch sử quỹ gia đình và trợ cấp</v>
      </c>
      <c r="C34" s="40" t="str">
        <f>IFERROR(__xludf.DUMMYFUNCTION("IF('Use Case Tracker'!C37="""","""",IFERROR(GOOGLETRANSLATE('Use Case Tracker'!C37,""en"",""vi""),'Use Case Tracker'!C37))"),"Luồng 3")</f>
        <v>Luồng 3</v>
      </c>
      <c r="D34" s="40" t="str">
        <f>IFERROR(__xludf.DUMMYFUNCTION("IF('Use Case Tracker'!D37="""","""",IFERROR(GOOGLETRANSLATE('Use Case Tracker'!D37,""en"",""vi""),'Use Case Tracker'!D37))"),"Tài chính / Quỹ gia đình")</f>
        <v>Tài chính / Quỹ gia đình</v>
      </c>
      <c r="E34" s="40" t="str">
        <f>IFERROR(__xludf.DUMMYFUNCTION("IF('Use Case Tracker'!E37="""","""",IFERROR(GOOGLETRANSLATE('Use Case Tracker'!E37,""en"",""vi""),'Use Case Tracker'!E37))"),"Người quản lý gia đình / Thành viên gia đình")</f>
        <v>Người quản lý gia đình / Thành viên gia đình</v>
      </c>
      <c r="F34" s="40" t="str">
        <f>IFERROR(__xludf.DUMMYFUNCTION("IF('Use Case Tracker'!F37="""","""",IFERROR(GOOGLETRANSLATE('Use Case Tracker'!F37,""en"",""vi""),'Use Case Tracker'!F37))"),"Xem sổ quỹ gia đình, trợ cấp nội bộ, lịch sử yêu cầu hỗ trợ tiền thưởng và chi tiêu theo quyền hạn.")</f>
        <v>Xem sổ quỹ gia đình, trợ cấp nội bộ, lịch sử yêu cầu hỗ trợ tiền thưởng và chi tiêu theo quyền hạn.</v>
      </c>
      <c r="G34" s="40" t="str">
        <f>IF('Use Case Tracker'!G37="","",SWITCH('Use Case Tracker'!G37,"Must-have","Bắt buộc","Should-have","Nên có","Could-have","Có thể có",'Use Case Tracker'!G37))</f>
        <v>Bắt buộc</v>
      </c>
      <c r="H34" s="40" t="str">
        <f>IF('Use Case Tracker'!H37="","",SWITCH('Use Case Tracker'!H37,"Not Started","Chưa bắt đầu","In Progress","Đang làm","Done","Hoàn thành",'Use Case Tracker'!H37))</f>
        <v>Chưa bắt đầu</v>
      </c>
      <c r="J34" s="40" t="str">
        <f>IF('Use Case Tracker'!J37="","",'Use Case Tracker'!J37)</f>
        <v>BR-FIN-04, BR-FIN-06, BR-FIN-07</v>
      </c>
      <c r="K34" s="40" t="str">
        <f>IFERROR(__xludf.DUMMYFUNCTION("IF('Use Case Tracker'!K37="""","""",IFERROR(GOOGLETRANSLATE('Use Case Tracker'!K37,""en"",""vi""),'Use Case Tracker'!K37))"),"Lịch sử giao dịch ở đây đề cập đến lịch sử sổ cái nội bộ, chứ không phải lịch sử giao dịch ngân hàng/thanh toán.")</f>
        <v>Lịch sử giao dịch ở đây đề cập đến lịch sử sổ cái nội bộ, chứ không phải lịch sử giao dịch ngân hàng/thanh toán.</v>
      </c>
      <c r="L34" s="40" t="str">
        <f>IF('Use Case Tracker'!L37="","",SWITCH('Use Case Tracker'!L37,"Keep","Giữ trong scope","Could-have / Do after core","Có thể có / Làm sau core",'Use Case Tracker'!L37))</f>
        <v>Keep, renamed from Family Fund Ledger history</v>
      </c>
    </row>
    <row r="35" ht="22.5" customHeight="1">
      <c r="A35" s="40" t="str">
        <f>IF('Use Case Tracker'!A38="","",'Use Case Tracker'!A38)</f>
        <v>UC37</v>
      </c>
      <c r="B35" s="40" t="str">
        <f>IFERROR(__xludf.DUMMYFUNCTION("IF('Use Case Tracker'!B38="""","""",IFERROR(GOOGLETRANSLATE('Use Case Tracker'!B38,""en"",""vi""),'Use Case Tracker'!B38))"),"Quản lý các danh mục công việc gia đình")</f>
        <v>Quản lý các danh mục công việc gia đình</v>
      </c>
      <c r="C35" s="40" t="str">
        <f>IFERROR(__xludf.DUMMYFUNCTION("IF('Use Case Tracker'!C38="""","""",IFERROR(GOOGLETRANSLATE('Use Case Tracker'!C38,""en"",""vi""),'Use Case Tracker'!C38))"),"Luồng 4")</f>
        <v>Luồng 4</v>
      </c>
      <c r="D35" s="40" t="str">
        <f>IFERROR(__xludf.DUMMYFUNCTION("IF('Use Case Tracker'!D38="""","""",IFERROR(GOOGLETRANSLATE('Use Case Tracker'!D38,""en"",""vi""),'Use Case Tracker'!D38))"),"Nhiệm vụ")</f>
        <v>Nhiệm vụ</v>
      </c>
      <c r="E35" s="40" t="str">
        <f>IFERROR(__xludf.DUMMYFUNCTION("IF('Use Case Tracker'!E38="""","""",IFERROR(GOOGLETRANSLATE('Use Case Tracker'!E38,""en"",""vi""),'Use Case Tracker'!E38))"),"Người quản lý gia đình / Thành viên gia đình được ủy quyền thay mặt")</f>
        <v>Người quản lý gia đình / Thành viên gia đình được ủy quyền thay mặt</v>
      </c>
      <c r="F35" s="40" t="str">
        <f>IFERROR(__xludf.DUMMYFUNCTION("IF('Use Case Tracker'!F38="""","""",IFERROR(GOOGLETRANSLATE('Use Case Tracker'!F38,""en"",""vi""),'Use Case Tracker'!F38))"),"Quản lý các danh mục công việc gia đình")</f>
        <v>Quản lý các danh mục công việc gia đình</v>
      </c>
      <c r="G35" s="40" t="str">
        <f>IF('Use Case Tracker'!G38="","",SWITCH('Use Case Tracker'!G38,"Must-have","Bắt buộc","Should-have","Nên có","Could-have","Có thể có",'Use Case Tracker'!G38))</f>
        <v>Nên có</v>
      </c>
      <c r="H35" s="40" t="str">
        <f>IF('Use Case Tracker'!H38="","",SWITCH('Use Case Tracker'!H38,"Not Started","Chưa bắt đầu","In Progress","Đang làm","Done","Hoàn thành",'Use Case Tracker'!H38))</f>
        <v>Chưa bắt đầu</v>
      </c>
      <c r="J35" s="40" t="str">
        <f>IF('Use Case Tracker'!J38="","",'Use Case Tracker'!J38)</f>
        <v>BR-TASK-01</v>
      </c>
      <c r="K35" s="40" t="str">
        <f>IFERROR(__xludf.DUMMYFUNCTION("IF('Use Case Tracker'!K38="""","""",IFERROR(GOOGLETRANSLATE('Use Case Tracker'!K38,""en"",""vi""),'Use Case Tracker'!K38))"),"")</f>
        <v/>
      </c>
      <c r="L35" s="40" t="str">
        <f>IF('Use Case Tracker'!L38="","",SWITCH('Use Case Tracker'!L38,"Keep","Giữ trong scope","Could-have / Do after core","Có thể có / Làm sau core",'Use Case Tracker'!L38))</f>
        <v>Giữ trong scope</v>
      </c>
    </row>
    <row r="36" ht="22.5" customHeight="1">
      <c r="A36" s="40" t="str">
        <f>IF('Use Case Tracker'!A39="","",'Use Case Tracker'!A39)</f>
        <v>UC38</v>
      </c>
      <c r="B36" s="40" t="str">
        <f>IFERROR(__xludf.DUMMYFUNCTION("IF('Use Case Tracker'!B39="""","""",IFERROR(GOOGLETRANSLATE('Use Case Tracker'!B39,""en"",""vi""),'Use Case Tracker'!B39))"),"Tạo tác vụ Ad-hoc")</f>
        <v>Tạo tác vụ Ad-hoc</v>
      </c>
      <c r="C36" s="40" t="str">
        <f>IFERROR(__xludf.DUMMYFUNCTION("IF('Use Case Tracker'!C39="""","""",IFERROR(GOOGLETRANSLATE('Use Case Tracker'!C39,""en"",""vi""),'Use Case Tracker'!C39))"),"Luồng 4")</f>
        <v>Luồng 4</v>
      </c>
      <c r="D36" s="40" t="str">
        <f>IFERROR(__xludf.DUMMYFUNCTION("IF('Use Case Tracker'!D39="""","""",IFERROR(GOOGLETRANSLATE('Use Case Tracker'!D39,""en"",""vi""),'Use Case Tracker'!D39))"),"Nhiệm vụ")</f>
        <v>Nhiệm vụ</v>
      </c>
      <c r="E36" s="40" t="str">
        <f>IFERROR(__xludf.DUMMYFUNCTION("IF('Use Case Tracker'!E39="""","""",IFERROR(GOOGLETRANSLATE('Use Case Tracker'!E39,""en"",""vi""),'Use Case Tracker'!E39))"),"Người quản lý gia đình / Thành viên gia đình được ủy quyền thay mặt")</f>
        <v>Người quản lý gia đình / Thành viên gia đình được ủy quyền thay mặt</v>
      </c>
      <c r="F36" s="40" t="str">
        <f>IFERROR(__xludf.DUMMYFUNCTION("IF('Use Case Tracker'!F39="""","""",IFERROR(GOOGLETRANSLATE('Use Case Tracker'!F39,""en"",""vi""),'Use Case Tracker'!F39))"),"Tạo tác vụ Ad-hoc")</f>
        <v>Tạo tác vụ Ad-hoc</v>
      </c>
      <c r="G36" s="40" t="str">
        <f>IF('Use Case Tracker'!G39="","",SWITCH('Use Case Tracker'!G39,"Must-have","Bắt buộc","Should-have","Nên có","Could-have","Có thể có",'Use Case Tracker'!G39))</f>
        <v>Bắt buộc</v>
      </c>
      <c r="H36" s="40" t="str">
        <f>IF('Use Case Tracker'!H39="","",SWITCH('Use Case Tracker'!H39,"Not Started","Chưa bắt đầu","In Progress","Đang làm","Done","Hoàn thành",'Use Case Tracker'!H39))</f>
        <v>Chưa bắt đầu</v>
      </c>
      <c r="J36" s="40" t="str">
        <f>IF('Use Case Tracker'!J39="","",'Use Case Tracker'!J39)</f>
        <v>BR-TASK-01</v>
      </c>
      <c r="K36" s="40" t="str">
        <f>IFERROR(__xludf.DUMMYFUNCTION("IF('Use Case Tracker'!K39="""","""",IFERROR(GOOGLETRANSLATE('Use Case Tracker'!K39,""en"",""vi""),'Use Case Tracker'!K39))"),"")</f>
        <v/>
      </c>
      <c r="L36" s="40" t="str">
        <f>IF('Use Case Tracker'!L39="","",SWITCH('Use Case Tracker'!L39,"Keep","Giữ trong scope","Could-have / Do after core","Có thể có / Làm sau core",'Use Case Tracker'!L39))</f>
        <v>Giữ trong scope</v>
      </c>
    </row>
    <row r="37" ht="22.5" customHeight="1">
      <c r="A37" s="40" t="str">
        <f>IF('Use Case Tracker'!A40="","",'Use Case Tracker'!A40)</f>
        <v>UC39</v>
      </c>
      <c r="B37" s="40" t="str">
        <f>IFERROR(__xludf.DUMMYFUNCTION("IF('Use Case Tracker'!B40="""","""",IFERROR(GOOGLETRANSLATE('Use Case Tracker'!B40,""en"",""vi""),'Use Case Tracker'!B40))"),"Tạo nhiệm vụ bắt buộc định kỳ")</f>
        <v>Tạo nhiệm vụ bắt buộc định kỳ</v>
      </c>
      <c r="C37" s="40" t="str">
        <f>IFERROR(__xludf.DUMMYFUNCTION("IF('Use Case Tracker'!C40="""","""",IFERROR(GOOGLETRANSLATE('Use Case Tracker'!C40,""en"",""vi""),'Use Case Tracker'!C40))"),"Luồng 4")</f>
        <v>Luồng 4</v>
      </c>
      <c r="D37" s="40" t="str">
        <f>IFERROR(__xludf.DUMMYFUNCTION("IF('Use Case Tracker'!D40="""","""",IFERROR(GOOGLETRANSLATE('Use Case Tracker'!D40,""en"",""vi""),'Use Case Tracker'!D40))"),"Nhiệm vụ")</f>
        <v>Nhiệm vụ</v>
      </c>
      <c r="E37" s="40" t="str">
        <f>IFERROR(__xludf.DUMMYFUNCTION("IF('Use Case Tracker'!E40="""","""",IFERROR(GOOGLETRANSLATE('Use Case Tracker'!E40,""en"",""vi""),'Use Case Tracker'!E40))"),"Người quản lý gia đình / Thành viên gia đình được ủy quyền thay mặt")</f>
        <v>Người quản lý gia đình / Thành viên gia đình được ủy quyền thay mặt</v>
      </c>
      <c r="F37" s="40" t="str">
        <f>IFERROR(__xludf.DUMMYFUNCTION("IF('Use Case Tracker'!F40="""","""",IFERROR(GOOGLETRANSLATE('Use Case Tracker'!F40,""en"",""vi""),'Use Case Tracker'!F40))"),"Tạo nhiệm vụ bắt buộc định kỳ")</f>
        <v>Tạo nhiệm vụ bắt buộc định kỳ</v>
      </c>
      <c r="G37" s="40" t="str">
        <f>IF('Use Case Tracker'!G40="","",SWITCH('Use Case Tracker'!G40,"Must-have","Bắt buộc","Should-have","Nên có","Could-have","Có thể có",'Use Case Tracker'!G40))</f>
        <v>Bắt buộc</v>
      </c>
      <c r="H37" s="40" t="str">
        <f>IF('Use Case Tracker'!H40="","",SWITCH('Use Case Tracker'!H40,"Not Started","Chưa bắt đầu","In Progress","Đang làm","Done","Hoàn thành",'Use Case Tracker'!H40))</f>
        <v>Chưa bắt đầu</v>
      </c>
      <c r="J37" s="40" t="str">
        <f>IF('Use Case Tracker'!J40="","",'Use Case Tracker'!J40)</f>
        <v>BR-TASK-01, BR-TASK-02</v>
      </c>
      <c r="K37" s="40" t="str">
        <f>IFERROR(__xludf.DUMMYFUNCTION("IF('Use Case Tracker'!K40="""","""",IFERROR(GOOGLETRANSLATE('Use Case Tracker'!K40,""en"",""vi""),'Use Case Tracker'!K40))"),"")</f>
        <v/>
      </c>
      <c r="L37" s="40" t="str">
        <f>IF('Use Case Tracker'!L40="","",SWITCH('Use Case Tracker'!L40,"Keep","Giữ trong scope","Could-have / Do after core","Có thể có / Làm sau core",'Use Case Tracker'!L40))</f>
        <v>Giữ trong scope</v>
      </c>
    </row>
    <row r="38" ht="22.5" customHeight="1">
      <c r="A38" s="40" t="str">
        <f>IF('Use Case Tracker'!A51="","",'Use Case Tracker'!A51)</f>
        <v>UC50</v>
      </c>
      <c r="B38" s="40" t="str">
        <f>IFERROR(__xludf.DUMMYFUNCTION("IF('Use Case Tracker'!B51="""","""",IFERROR(GOOGLETRANSLATE('Use Case Tracker'!B51,""en"",""vi""),'Use Case Tracker'!B51))"),"Kích hoạt cảnh báo SOS từ ứng dụng di động")</f>
        <v>Kích hoạt cảnh báo SOS từ ứng dụng di động</v>
      </c>
      <c r="C38" s="40" t="str">
        <f>IFERROR(__xludf.DUMMYFUNCTION("IF('Use Case Tracker'!C51="""","""",IFERROR(GOOGLETRANSLATE('Use Case Tracker'!C51,""en"",""vi""),'Use Case Tracker'!C51))"),"Luồng 5")</f>
        <v>Luồng 5</v>
      </c>
      <c r="D38" s="40" t="str">
        <f>IFERROR(__xludf.DUMMYFUNCTION("IF('Use Case Tracker'!D51="""","""",IFERROR(GOOGLETRANSLATE('Use Case Tracker'!D51,""en"",""vi""),'Use Case Tracker'!D51))"),"SOS")</f>
        <v>SOS</v>
      </c>
      <c r="E38" s="40" t="str">
        <f>IFERROR(__xludf.DUMMYFUNCTION("IF('Use Case Tracker'!E51="""","""",IFERROR(GOOGLETRANSLATE('Use Case Tracker'!E51,""en"",""vi""),'Use Case Tracker'!E51))"),"Thành viên gia đình")</f>
        <v>Thành viên gia đình</v>
      </c>
      <c r="F38" s="40" t="str">
        <f>IFERROR(__xludf.DUMMYFUNCTION("IF('Use Case Tracker'!F51="""","""",IFERROR(GOOGLETRANSLATE('Use Case Tracker'!F51,""en"",""vi""),'Use Case Tracker'!F51))"),"Thành viên gia đình kích hoạt chức năng SOS từ ứng dụng trên điện thoại di động và gửi cảnh báo ưu tiên cao kèm thông tin vị trí khi có sẵn.")</f>
        <v>Thành viên gia đình kích hoạt chức năng SOS từ ứng dụng trên điện thoại di động và gửi cảnh báo ưu tiên cao kèm thông tin vị trí khi có sẵn.</v>
      </c>
      <c r="G38" s="40" t="str">
        <f>IF('Use Case Tracker'!G51="","",SWITCH('Use Case Tracker'!G51,"Must-have","Bắt buộc","Should-have","Nên có","Could-have","Có thể có",'Use Case Tracker'!G51))</f>
        <v>Bắt buộc</v>
      </c>
      <c r="H38" s="40" t="str">
        <f>IF('Use Case Tracker'!H51="","",SWITCH('Use Case Tracker'!H51,"Not Started","Chưa bắt đầu","In Progress","Đang làm","Done","Hoàn thành",'Use Case Tracker'!H51))</f>
        <v>Chưa bắt đầu</v>
      </c>
      <c r="J38" s="40" t="str">
        <f>IF('Use Case Tracker'!J51="","",'Use Case Tracker'!J51)</f>
        <v>BR-SOS-01, BR-SOS-02, BR-SOS-05</v>
      </c>
      <c r="K38" s="40" t="str">
        <f>IFERROR(__xludf.DUMMYFUNCTION("IF('Use Case Tracker'!K51="""","""",IFERROR(GOOGLETRANSLATE('Use Case Tracker'!K51,""en"",""vi""),'Use Case Tracker'!K51))"),"Chức năng SOS trên thiết bị di động vẫn là tính năng cốt lõi; chức năng SOS trên thiết bị đeo được được thêm vào như một tính năng UC riêng biệt.")</f>
        <v>Chức năng SOS trên thiết bị di động vẫn là tính năng cốt lõi; chức năng SOS trên thiết bị đeo được được thêm vào như một tính năng UC riêng biệt.</v>
      </c>
      <c r="L38" s="40" t="str">
        <f>IF('Use Case Tracker'!L51="","",SWITCH('Use Case Tracker'!L51,"Keep","Giữ trong scope","Could-have / Do after core","Có thể có / Làm sau core",'Use Case Tracker'!L51))</f>
        <v>Giữ trong scope</v>
      </c>
    </row>
    <row r="39" ht="22.5" customHeight="1">
      <c r="A39" s="40" t="str">
        <f>IF('Use Case Tracker'!A52="","",'Use Case Tracker'!A52)</f>
        <v>UC51</v>
      </c>
      <c r="B39" s="40" t="str">
        <f>IFERROR(__xludf.DUMMYFUNCTION("IF('Use Case Tracker'!B52="""","""",IFERROR(GOOGLETRANSLATE('Use Case Tracker'!B52,""en"",""vi""),'Use Case Tracker'!B52))"),"Xem và phản hồi cảnh báo SOS")</f>
        <v>Xem và phản hồi cảnh báo SOS</v>
      </c>
      <c r="C39" s="40" t="str">
        <f>IFERROR(__xludf.DUMMYFUNCTION("IF('Use Case Tracker'!C52="""","""",IFERROR(GOOGLETRANSLATE('Use Case Tracker'!C52,""en"",""vi""),'Use Case Tracker'!C52))"),"Luồng 5")</f>
        <v>Luồng 5</v>
      </c>
      <c r="D39" s="40" t="str">
        <f>IFERROR(__xludf.DUMMYFUNCTION("IF('Use Case Tracker'!D52="""","""",IFERROR(GOOGLETRANSLATE('Use Case Tracker'!D52,""en"",""vi""),'Use Case Tracker'!D52))"),"SOS")</f>
        <v>SOS</v>
      </c>
      <c r="E39" s="40" t="str">
        <f>IFERROR(__xludf.DUMMYFUNCTION("IF('Use Case Tracker'!E52="""","""",IFERROR(GOOGLETRANSLATE('Use Case Tracker'!E52,""en"",""vi""),'Use Case Tracker'!E52))"),"Tất cả các thành viên trong gia đình")</f>
        <v>Tất cả các thành viên trong gia đình</v>
      </c>
      <c r="F39" s="40" t="str">
        <f>IFERROR(__xludf.DUMMYFUNCTION("IF('Use Case Tracker'!F52="""","""",IFERROR(GOOGLETRANSLATE('Use Case Tracker'!F52,""en"",""vi""),'Use Case Tracker'!F52))"),"Xem chi tiết tín hiệu SOS, nguồn gốc, vị trí và các hành động phản hồi.")</f>
        <v>Xem chi tiết tín hiệu SOS, nguồn gốc, vị trí và các hành động phản hồi.</v>
      </c>
      <c r="G39" s="40" t="str">
        <f>IF('Use Case Tracker'!G52="","",SWITCH('Use Case Tracker'!G52,"Must-have","Bắt buộc","Should-have","Nên có","Could-have","Có thể có",'Use Case Tracker'!G52))</f>
        <v>Bắt buộc</v>
      </c>
      <c r="H39" s="40" t="str">
        <f>IF('Use Case Tracker'!H52="","",SWITCH('Use Case Tracker'!H52,"Not Started","Chưa bắt đầu","In Progress","Đang làm","Done","Hoàn thành",'Use Case Tracker'!H52))</f>
        <v>Chưa bắt đầu</v>
      </c>
      <c r="J39" s="40" t="str">
        <f>IF('Use Case Tracker'!J52="","",'Use Case Tracker'!J52)</f>
        <v>BR-SOS-02</v>
      </c>
      <c r="K39" s="40" t="str">
        <f>IFERROR(__xludf.DUMMYFUNCTION("IF('Use Case Tracker'!K52="""","""",IFERROR(GOOGLETRANSLATE('Use Case Tracker'!K52,""en"",""vi""),'Use Case Tracker'!K52))"),"Các thành viên trong gia đình có thể biết ai đã kích hoạt SOS và phản hồi nhanh chóng.")</f>
        <v>Các thành viên trong gia đình có thể biết ai đã kích hoạt SOS và phản hồi nhanh chóng.</v>
      </c>
      <c r="L39" s="40" t="str">
        <f>IF('Use Case Tracker'!L52="","",SWITCH('Use Case Tracker'!L52,"Keep","Giữ trong scope","Could-have / Do after core","Có thể có / Làm sau core",'Use Case Tracker'!L52))</f>
        <v>Giữ trong scope</v>
      </c>
    </row>
    <row r="40" ht="22.5" customHeight="1">
      <c r="A40" s="40" t="str">
        <f>IF('Use Case Tracker'!A53="","",'Use Case Tracker'!A53)</f>
        <v>UC52</v>
      </c>
      <c r="B40" s="40" t="str">
        <f>IFERROR(__xludf.DUMMYFUNCTION("IF('Use Case Tracker'!B53="""","""",IFERROR(GOOGLETRANSLATE('Use Case Tracker'!B53,""en"",""vi""),'Use Case Tracker'!B53))"),"Xác nhận an toàn")</f>
        <v>Xác nhận an toàn</v>
      </c>
      <c r="C40" s="40" t="str">
        <f>IFERROR(__xludf.DUMMYFUNCTION("IF('Use Case Tracker'!C53="""","""",IFERROR(GOOGLETRANSLATE('Use Case Tracker'!C53,""en"",""vi""),'Use Case Tracker'!C53))"),"Luồng 5")</f>
        <v>Luồng 5</v>
      </c>
      <c r="D40" s="40" t="str">
        <f>IFERROR(__xludf.DUMMYFUNCTION("IF('Use Case Tracker'!D53="""","""",IFERROR(GOOGLETRANSLATE('Use Case Tracker'!D53,""en"",""vi""),'Use Case Tracker'!D53))"),"SOS")</f>
        <v>SOS</v>
      </c>
      <c r="E40" s="40" t="str">
        <f>IFERROR(__xludf.DUMMYFUNCTION("IF('Use Case Tracker'!E53="""","""",IFERROR(GOOGLETRANSLATE('Use Case Tracker'!E53,""en"",""vi""),'Use Case Tracker'!E53))"),"Thành viên gia đình")</f>
        <v>Thành viên gia đình</v>
      </c>
      <c r="F40" s="40" t="str">
        <f>IFERROR(__xludf.DUMMYFUNCTION("IF('Use Case Tracker'!F53="""","""",IFERROR(GOOGLETRANSLATE('Use Case Tracker'!F53,""en"",""vi""),'Use Case Tracker'!F53))"),"Xác nhận an toàn sau khi sự cố SOS được xử lý hoặc báo động giả được giải quyết.")</f>
        <v>Xác nhận an toàn sau khi sự cố SOS được xử lý hoặc báo động giả được giải quyết.</v>
      </c>
      <c r="G40" s="40" t="str">
        <f>IF('Use Case Tracker'!G53="","",SWITCH('Use Case Tracker'!G53,"Must-have","Bắt buộc","Should-have","Nên có","Could-have","Có thể có",'Use Case Tracker'!G53))</f>
        <v>Bắt buộc</v>
      </c>
      <c r="H40" s="40" t="str">
        <f>IF('Use Case Tracker'!H53="","",SWITCH('Use Case Tracker'!H53,"Not Started","Chưa bắt đầu","In Progress","Đang làm","Done","Hoàn thành",'Use Case Tracker'!H53))</f>
        <v>Chưa bắt đầu</v>
      </c>
      <c r="J40" s="40" t="str">
        <f>IF('Use Case Tracker'!J53="","",'Use Case Tracker'!J53)</f>
        <v>BR-SOS-03</v>
      </c>
      <c r="K40" s="40" t="str">
        <f>IFERROR(__xludf.DUMMYFUNCTION("IF('Use Case Tracker'!K53="""","""",IFERROR(GOOGLETRANSLATE('Use Case Tracker'!K53,""en"",""vi""),'Use Case Tracker'!K53))"),"Việc xác nhận an toàn là bắt buộc trước khi đưa ra quyết định cuối cùng (nếu có).")</f>
        <v>Việc xác nhận an toàn là bắt buộc trước khi đưa ra quyết định cuối cùng (nếu có).</v>
      </c>
      <c r="L40" s="40" t="str">
        <f>IF('Use Case Tracker'!L53="","",SWITCH('Use Case Tracker'!L53,"Keep","Giữ trong scope","Could-have / Do after core","Có thể có / Làm sau core",'Use Case Tracker'!L53))</f>
        <v>Giữ trong scope</v>
      </c>
    </row>
    <row r="41" ht="22.5" customHeight="1">
      <c r="A41" s="40" t="str">
        <f>IF('Use Case Tracker'!A54="","",'Use Case Tracker'!A54)</f>
        <v>UC53</v>
      </c>
      <c r="B41" s="40" t="str">
        <f>IFERROR(__xludf.DUMMYFUNCTION("IF('Use Case Tracker'!B54="""","""",IFERROR(GOOGLETRANSLATE('Use Case Tracker'!B54,""en"",""vi""),'Use Case Tracker'!B54))"),"Giải quyết hoặc hủy cảnh báo SOS")</f>
        <v>Giải quyết hoặc hủy cảnh báo SOS</v>
      </c>
      <c r="C41" s="40" t="str">
        <f>IFERROR(__xludf.DUMMYFUNCTION("IF('Use Case Tracker'!C54="""","""",IFERROR(GOOGLETRANSLATE('Use Case Tracker'!C54,""en"",""vi""),'Use Case Tracker'!C54))"),"Luồng 5")</f>
        <v>Luồng 5</v>
      </c>
      <c r="D41" s="40" t="str">
        <f>IFERROR(__xludf.DUMMYFUNCTION("IF('Use Case Tracker'!D54="""","""",IFERROR(GOOGLETRANSLATE('Use Case Tracker'!D54,""en"",""vi""),'Use Case Tracker'!D54))"),"SOS")</f>
        <v>SOS</v>
      </c>
      <c r="E41" s="40" t="str">
        <f>IFERROR(__xludf.DUMMYFUNCTION("IF('Use Case Tracker'!E54="""","""",IFERROR(GOOGLETRANSLATE('Use Case Tracker'!E54,""en"",""vi""),'Use Case Tracker'!E54))"),"Người quản lý gia đình / Thành viên gia đình được ủy quyền thay mặt")</f>
        <v>Người quản lý gia đình / Thành viên gia đình được ủy quyền thay mặt</v>
      </c>
      <c r="F41" s="40" t="str">
        <f>IFERROR(__xludf.DUMMYFUNCTION("IF('Use Case Tracker'!F54="""","""",IFERROR(GOOGLETRANSLATE('Use Case Tracker'!F54,""en"",""vi""),'Use Case Tracker'!F54))"),"Giải quyết hoặc hủy bỏ cảnh báo SOS với xác nhận an toàn hoặc lý do xử lý rõ ràng.")</f>
        <v>Giải quyết hoặc hủy bỏ cảnh báo SOS với xác nhận an toàn hoặc lý do xử lý rõ ràng.</v>
      </c>
      <c r="G41" s="40" t="str">
        <f>IF('Use Case Tracker'!G54="","",SWITCH('Use Case Tracker'!G54,"Must-have","Bắt buộc","Should-have","Nên có","Could-have","Có thể có",'Use Case Tracker'!G54))</f>
        <v>Bắt buộc</v>
      </c>
      <c r="H41" s="40" t="str">
        <f>IF('Use Case Tracker'!H54="","",SWITCH('Use Case Tracker'!H54,"Not Started","Chưa bắt đầu","In Progress","Đang làm","Done","Hoàn thành",'Use Case Tracker'!H54))</f>
        <v>Chưa bắt đầu</v>
      </c>
      <c r="J41" s="40" t="str">
        <f>IF('Use Case Tracker'!J54="","",'Use Case Tracker'!J54)</f>
        <v>BR-SOS-03</v>
      </c>
      <c r="K41" s="40" t="str">
        <f>IFERROR(__xludf.DUMMYFUNCTION("IF('Use Case Tracker'!K54="""","""",IFERROR(GOOGLETRANSLATE('Use Case Tracker'!K54,""en"",""vi""),'Use Case Tracker'!K54))"),"Việc đóng cửa SOS phải có thể truy vết được.")</f>
        <v>Việc đóng cửa SOS phải có thể truy vết được.</v>
      </c>
      <c r="L41" s="40" t="str">
        <f>IF('Use Case Tracker'!L54="","",SWITCH('Use Case Tracker'!L54,"Keep","Giữ trong scope","Could-have / Do after core","Có thể có / Làm sau core",'Use Case Tracker'!L54))</f>
        <v>Giữ trong scope</v>
      </c>
    </row>
    <row r="42" ht="22.5" customHeight="1">
      <c r="A42" s="40" t="str">
        <f>IF('Use Case Tracker'!A55="","",'Use Case Tracker'!A55)</f>
        <v>UC54</v>
      </c>
      <c r="B42" s="40" t="str">
        <f>IFERROR(__xludf.DUMMYFUNCTION("IF('Use Case Tracker'!B55="""","""",IFERROR(GOOGLETRANSLATE('Use Case Tracker'!B55,""en"",""vi""),'Use Case Tracker'!B55))"),"Xem vị trí SOS cơ bản hoặc lịch sử tuyến đường")</f>
        <v>Xem vị trí SOS cơ bản hoặc lịch sử tuyến đường</v>
      </c>
      <c r="C42" s="40" t="str">
        <f>IFERROR(__xludf.DUMMYFUNCTION("IF('Use Case Tracker'!C55="""","""",IFERROR(GOOGLETRANSLATE('Use Case Tracker'!C55,""en"",""vi""),'Use Case Tracker'!C55))"),"Luồng 5")</f>
        <v>Luồng 5</v>
      </c>
      <c r="D42" s="40" t="str">
        <f>IFERROR(__xludf.DUMMYFUNCTION("IF('Use Case Tracker'!D55="""","""",IFERROR(GOOGLETRANSLATE('Use Case Tracker'!D55,""en"",""vi""),'Use Case Tracker'!D55))"),"SOS")</f>
        <v>SOS</v>
      </c>
      <c r="E42" s="40" t="str">
        <f>IFERROR(__xludf.DUMMYFUNCTION("IF('Use Case Tracker'!E55="""","""",IFERROR(GOOGLETRANSLATE('Use Case Tracker'!E55,""en"",""vi""),'Use Case Tracker'!E55))"),"Người quản lý gia đình / Thành viên gia đình được ủy quyền thay mặt / Thành viên gia đình")</f>
        <v>Người quản lý gia đình / Thành viên gia đình được ủy quyền thay mặt / Thành viên gia đình</v>
      </c>
      <c r="F42" s="40" t="str">
        <f>IFERROR(__xludf.DUMMYFUNCTION("IF('Use Case Tracker'!F55="""","""",IFERROR(GOOGLETRANSLATE('Use Case Tracker'!F55,""en"",""vi""),'Use Case Tracker'!F55))"),"Xem vị trí SOS cơ bản hoặc lịch sử lộ trình khi có sẵn và được cho phép.")</f>
        <v>Xem vị trí SOS cơ bản hoặc lịch sử lộ trình khi có sẵn và được cho phép.</v>
      </c>
      <c r="G42" s="40" t="str">
        <f>IF('Use Case Tracker'!G55="","",SWITCH('Use Case Tracker'!G55,"Must-have","Bắt buộc","Should-have","Nên có","Could-have","Có thể có",'Use Case Tracker'!G55))</f>
        <v>Nên có</v>
      </c>
      <c r="H42" s="40" t="str">
        <f>IF('Use Case Tracker'!H55="","",SWITCH('Use Case Tracker'!H55,"Not Started","Chưa bắt đầu","In Progress","Đang làm","Done","Hoàn thành",'Use Case Tracker'!H55))</f>
        <v>Chưa bắt đầu</v>
      </c>
      <c r="J42" s="40" t="str">
        <f>IF('Use Case Tracker'!J55="","",'Use Case Tracker'!J55)</f>
        <v>BR-SOS-04</v>
      </c>
      <c r="K42" s="40" t="str">
        <f>IFERROR(__xludf.DUMMYFUNCTION("IF('Use Case Tracker'!K55="""","""",IFERROR(GOOGLETRANSLATE('Use Case Tracker'!K55,""en"",""vi""),'Use Case Tracker'!K55))"),"Chỉ hỗ trợ lịch sử lộ trình/vị trí SOS cơ bản; định vị GPS liên tục nâng cao sẽ có trong tương lai.")</f>
        <v>Chỉ hỗ trợ lịch sử lộ trình/vị trí SOS cơ bản; định vị GPS liên tục nâng cao sẽ có trong tương lai.</v>
      </c>
      <c r="L42" s="40" t="str">
        <f>IF('Use Case Tracker'!L55="","",SWITCH('Use Case Tracker'!L55,"Keep","Giữ trong scope","Could-have / Do after core","Có thể có / Làm sau core",'Use Case Tracker'!L55))</f>
        <v>Giữ trong scope</v>
      </c>
    </row>
    <row r="43" ht="22.5" customHeight="1">
      <c r="A43" s="40" t="str">
        <f>IF('Use Case Tracker'!A56="","",'Use Case Tracker'!A56)</f>
        <v>UC55</v>
      </c>
      <c r="B43" s="40" t="str">
        <f>IFERROR(__xludf.DUMMYFUNCTION("IF('Use Case Tracker'!B56="""","""",IFERROR(GOOGLETRANSLATE('Use Case Tracker'!B56,""en"",""vi""),'Use Case Tracker'!B56))"),"Cấu hình danh bạ và cài đặt SOS")</f>
        <v>Cấu hình danh bạ và cài đặt SOS</v>
      </c>
      <c r="C43" s="40" t="str">
        <f>IFERROR(__xludf.DUMMYFUNCTION("IF('Use Case Tracker'!C56="""","""",IFERROR(GOOGLETRANSLATE('Use Case Tracker'!C56,""en"",""vi""),'Use Case Tracker'!C56))"),"Luồng 5")</f>
        <v>Luồng 5</v>
      </c>
      <c r="D43" s="40" t="str">
        <f>IFERROR(__xludf.DUMMYFUNCTION("IF('Use Case Tracker'!D56="""","""",IFERROR(GOOGLETRANSLATE('Use Case Tracker'!D56,""en"",""vi""),'Use Case Tracker'!D56))"),"SOS")</f>
        <v>SOS</v>
      </c>
      <c r="E43" s="40" t="str">
        <f>IFERROR(__xludf.DUMMYFUNCTION("IF('Use Case Tracker'!E56="""","""",IFERROR(GOOGLETRANSLATE('Use Case Tracker'!E56,""en"",""vi""),'Use Case Tracker'!E56))"),"Quản lý gia đình")</f>
        <v>Quản lý gia đình</v>
      </c>
      <c r="F43" s="40" t="str">
        <f>IFERROR(__xludf.DUMMYFUNCTION("IF('Use Case Tracker'!F56="""","""",IFERROR(GOOGLETRANSLATE('Use Case Tracker'!F56,""en"",""vi""),'Use Case Tracker'!F56))"),"Family Manager cấu hình các số liên lạc khẩn cấp SOS và cài đặt cảnh báo cho không gian làm việc của gia đình.")</f>
        <v>Family Manager cấu hình các số liên lạc khẩn cấp SOS và cài đặt cảnh báo cho không gian làm việc của gia đình.</v>
      </c>
      <c r="G43" s="40" t="str">
        <f>IF('Use Case Tracker'!G56="","",SWITCH('Use Case Tracker'!G56,"Must-have","Bắt buộc","Should-have","Nên có","Could-have","Có thể có",'Use Case Tracker'!G56))</f>
        <v>Bắt buộc</v>
      </c>
      <c r="H43" s="40" t="str">
        <f>IF('Use Case Tracker'!H56="","",SWITCH('Use Case Tracker'!H56,"Not Started","Chưa bắt đầu","In Progress","Đang làm","Done","Hoàn thành",'Use Case Tracker'!H56))</f>
        <v>Chưa bắt đầu</v>
      </c>
      <c r="J43" s="40" t="str">
        <f>IF('Use Case Tracker'!J56="","",'Use Case Tracker'!J56)</f>
        <v>BR-SOS-01, BR-SOS-05</v>
      </c>
      <c r="K43" s="40" t="str">
        <f>IFERROR(__xludf.DUMMYFUNCTION("IF('Use Case Tracker'!K56="""","""",IFERROR(GOOGLETRANSLATE('Use Case Tracker'!K56,""en"",""vi""),'Use Case Tracker'!K56))"),"Các thiết lập xác định ai nhận được tín hiệu SOS và cách thức hoạt động của cảnh báo an toàn.")</f>
        <v>Các thiết lập xác định ai nhận được tín hiệu SOS và cách thức hoạt động của cảnh báo an toàn.</v>
      </c>
      <c r="L43" s="40" t="str">
        <f>IF('Use Case Tracker'!L56="","",SWITCH('Use Case Tracker'!L56,"Keep","Giữ trong scope","Could-have / Do after core","Có thể có / Làm sau core",'Use Case Tracker'!L56))</f>
        <v>Giữ trong scope</v>
      </c>
    </row>
    <row r="44" ht="22.5" customHeight="1">
      <c r="A44" s="40" t="str">
        <f>IF('Use Case Tracker'!A57="","",'Use Case Tracker'!A57)</f>
        <v>UC56</v>
      </c>
      <c r="B44" s="40" t="str">
        <f>IFERROR(__xludf.DUMMYFUNCTION("IF('Use Case Tracker'!B57="""","""",IFERROR(GOOGLETRANSLATE('Use Case Tracker'!B57,""en"",""vi""),'Use Case Tracker'!B57))"),"Thiết bị đeo/an toàn Pair SOS")</f>
        <v>Thiết bị đeo/an toàn Pair SOS</v>
      </c>
      <c r="C44" s="40" t="str">
        <f>IFERROR(__xludf.DUMMYFUNCTION("IF('Use Case Tracker'!C57="""","""",IFERROR(GOOGLETRANSLATE('Use Case Tracker'!C57,""en"",""vi""),'Use Case Tracker'!C57))"),"Luồng 5")</f>
        <v>Luồng 5</v>
      </c>
      <c r="D44" s="40" t="str">
        <f>IFERROR(__xludf.DUMMYFUNCTION("IF('Use Case Tracker'!D57="""","""",IFERROR(GOOGLETRANSLATE('Use Case Tracker'!D57,""en"",""vi""),'Use Case Tracker'!D57))"),"SOS / Thiết bị đeo được")</f>
        <v>SOS / Thiết bị đeo được</v>
      </c>
      <c r="E44" s="40" t="str">
        <f>IFERROR(__xludf.DUMMYFUNCTION("IF('Use Case Tracker'!E57="""","""",IFERROR(GOOGLETRANSLATE('Use Case Tracker'!E57,""en"",""vi""),'Use Case Tracker'!E57))"),"Người quản lý gia đình / Thành viên gia đình")</f>
        <v>Người quản lý gia đình / Thành viên gia đình</v>
      </c>
      <c r="F44" s="40" t="str">
        <f>IFERROR(__xludf.DUMMYFUNCTION("IF('Use Case Tracker'!F57="""","""",IFERROR(GOOGLETRANSLATE('Use Case Tracker'!F57,""en"",""vi""),'Use Case Tracker'!F57))"),"Ghép nối hoặc đăng ký thiết bị đeo/thiết bị an toàn để hỗ trợ kích hoạt SOS và mô phỏng cảnh báo an toàn.")</f>
        <v>Ghép nối hoặc đăng ký thiết bị đeo/thiết bị an toàn để hỗ trợ kích hoạt SOS và mô phỏng cảnh báo an toàn.</v>
      </c>
      <c r="G44" s="40" t="str">
        <f>IF('Use Case Tracker'!G57="","",SWITCH('Use Case Tracker'!G57,"Must-have","Bắt buộc","Should-have","Nên có","Could-have","Có thể có",'Use Case Tracker'!G57))</f>
        <v>Bắt buộc</v>
      </c>
      <c r="H44" s="40" t="str">
        <f>IF('Use Case Tracker'!H57="","",SWITCH('Use Case Tracker'!H57,"Not Started","Chưa bắt đầu","In Progress","Đang làm","Done","Hoàn thành",'Use Case Tracker'!H57))</f>
        <v>Chưa bắt đầu</v>
      </c>
      <c r="J44" s="40" t="str">
        <f>IF('Use Case Tracker'!J57="","",'Use Case Tracker'!J57)</f>
        <v>BR-SOS-05, BR-SOS-06</v>
      </c>
      <c r="K44" s="40" t="str">
        <f>IFERROR(__xludf.DUMMYFUNCTION("IF('Use Case Tracker'!K57="""","""",IFERROR(GOOGLETRANSLATE('Use Case Tracker'!K57,""en"",""vi""),'Use Case Tracker'!K57))"),"Có thể mô phỏng thiết bị đeo được để trình diễn nếu việc tích hợp đồng hồ thông minh thực tế không ổn định.")</f>
        <v>Có thể mô phỏng thiết bị đeo được để trình diễn nếu việc tích hợp đồng hồ thông minh thực tế không ổn định.</v>
      </c>
      <c r="L44" s="40" t="str">
        <f>IF('Use Case Tracker'!L57="","",SWITCH('Use Case Tracker'!L57,"Keep","Giữ trong scope","Could-have / Do after core","Có thể có / Làm sau core",'Use Case Tracker'!L57))</f>
        <v>Keep for demo/simulation</v>
      </c>
    </row>
    <row r="45" ht="22.5" customHeight="1">
      <c r="A45" s="40" t="str">
        <f>IF('Use Case Tracker'!A58="","",'Use Case Tracker'!A58)</f>
        <v>UC57</v>
      </c>
      <c r="B45" s="40" t="str">
        <f>IFERROR(__xludf.DUMMYFUNCTION("IF('Use Case Tracker'!B58="""","""",IFERROR(GOOGLETRANSLATE('Use Case Tracker'!B58,""en"",""vi""),'Use Case Tracker'!B58))"),"Kích hoạt SOS từ thiết bị đeo được")</f>
        <v>Kích hoạt SOS từ thiết bị đeo được</v>
      </c>
      <c r="C45" s="40" t="str">
        <f>IFERROR(__xludf.DUMMYFUNCTION("IF('Use Case Tracker'!C58="""","""",IFERROR(GOOGLETRANSLATE('Use Case Tracker'!C58,""en"",""vi""),'Use Case Tracker'!C58))"),"Luồng 5")</f>
        <v>Luồng 5</v>
      </c>
      <c r="D45" s="40" t="str">
        <f>IFERROR(__xludf.DUMMYFUNCTION("IF('Use Case Tracker'!D58="""","""",IFERROR(GOOGLETRANSLATE('Use Case Tracker'!D58,""en"",""vi""),'Use Case Tracker'!D58))"),"SOS / Thiết bị đeo được")</f>
        <v>SOS / Thiết bị đeo được</v>
      </c>
      <c r="E45" s="40" t="str">
        <f>IFERROR(__xludf.DUMMYFUNCTION("IF('Use Case Tracker'!E58="""","""",IFERROR(GOOGLETRANSLATE('Use Case Tracker'!E58,""en"",""vi""),'Use Case Tracker'!E58))"),"Thành viên gia đình")</f>
        <v>Thành viên gia đình</v>
      </c>
      <c r="F45" s="40" t="str">
        <f>IFERROR(__xludf.DUMMYFUNCTION("IF('Use Case Tracker'!F58="""","""",IFERROR(GOOGLETRANSLATE('Use Case Tracker'!F58,""en"",""vi""),'Use Case Tracker'!F58))"),"Kích hoạt tín hiệu SOS từ thiết bị đeo được hoặc thiết bị mô phỏng an toàn và thông báo cho các thành viên gia đình kèm theo vị trí khi có sẵn.")</f>
        <v>Kích hoạt tín hiệu SOS từ thiết bị đeo được hoặc thiết bị mô phỏng an toàn và thông báo cho các thành viên gia đình kèm theo vị trí khi có sẵn.</v>
      </c>
      <c r="G45" s="40" t="str">
        <f>IF('Use Case Tracker'!G58="","",SWITCH('Use Case Tracker'!G58,"Must-have","Bắt buộc","Should-have","Nên có","Could-have","Có thể có",'Use Case Tracker'!G58))</f>
        <v>Bắt buộc</v>
      </c>
      <c r="H45" s="40" t="str">
        <f>IF('Use Case Tracker'!H58="","",SWITCH('Use Case Tracker'!H58,"Not Started","Chưa bắt đầu","In Progress","Đang làm","Done","Hoàn thành",'Use Case Tracker'!H58))</f>
        <v>Chưa bắt đầu</v>
      </c>
      <c r="J45" s="40" t="str">
        <f>IF('Use Case Tracker'!J58="","",'Use Case Tracker'!J58)</f>
        <v>BR-SOS-01, BR-SOS-02, BR-SOS-05, BR-SOS-06</v>
      </c>
      <c r="K45" s="40" t="str">
        <f>IFERROR(__xludf.DUMMYFUNCTION("IF('Use Case Tracker'!K58="""","""",IFERROR(GOOGLETRANSLATE('Use Case Tracker'!K58,""en"",""vi""),'Use Case Tracker'!K58))"),"Mục tiêu chính là chứng minh rằng tín hiệu SOS có thể được kích hoạt từ thiết bị, chứ không chỉ từ ứng dụng di động.")</f>
        <v>Mục tiêu chính là chứng minh rằng tín hiệu SOS có thể được kích hoạt từ thiết bị, chứ không chỉ từ ứng dụng di động.</v>
      </c>
      <c r="L45" s="40" t="str">
        <f>IF('Use Case Tracker'!L58="","",SWITCH('Use Case Tracker'!L58,"Keep","Giữ trong scope","Could-have / Do after core","Có thể có / Làm sau core",'Use Case Tracker'!L58))</f>
        <v>Giữ trong scope</v>
      </c>
    </row>
    <row r="46" ht="22.5" customHeight="1">
      <c r="A46" s="40" t="str">
        <f>IF('Use Case Tracker'!A63="","",'Use Case Tracker'!A63)</f>
        <v>UC62</v>
      </c>
      <c r="B46" s="40" t="str">
        <f>IFERROR(__xludf.DUMMYFUNCTION("IF('Use Case Tracker'!B63="""","""",IFERROR(GOOGLETRANSLATE('Use Case Tracker'!B63,""en"",""vi""),'Use Case Tracker'!B63))"),"Sử dụng tính năng trò chuyện riêng tư cơ bản")</f>
        <v>Sử dụng tính năng trò chuyện riêng tư cơ bản</v>
      </c>
      <c r="C46" s="40" t="str">
        <f>IFERROR(__xludf.DUMMYFUNCTION("IF('Use Case Tracker'!C63="""","""",IFERROR(GOOGLETRANSLATE('Use Case Tracker'!C63,""en"",""vi""),'Use Case Tracker'!C63))"),"Hỗ trợ giao tiếp")</f>
        <v>Hỗ trợ giao tiếp</v>
      </c>
      <c r="D46" s="40" t="str">
        <f>IFERROR(__xludf.DUMMYFUNCTION("IF('Use Case Tracker'!D63="""","""",IFERROR(GOOGLETRANSLATE('Use Case Tracker'!D63,""en"",""vi""),'Use Case Tracker'!D63))"),"Giao tiếp")</f>
        <v>Giao tiếp</v>
      </c>
      <c r="E46" s="40" t="str">
        <f>IFERROR(__xludf.DUMMYFUNCTION("IF('Use Case Tracker'!E63="""","""",IFERROR(GOOGLETRANSLATE('Use Case Tracker'!E63,""en"",""vi""),'Use Case Tracker'!E63))"),"Thành viên gia đình")</f>
        <v>Thành viên gia đình</v>
      </c>
      <c r="F46" s="40" t="str">
        <f>IFERROR(__xludf.DUMMYFUNCTION("IF('Use Case Tracker'!F63="""","""",IFERROR(GOOGLETRANSLATE('Use Case Tracker'!F63,""en"",""vi""),'Use Case Tracker'!F63))"),"Gửi và nhận tin nhắn trực tiếp với một thành viên khác trong gia đình cùng làm việc trong cùng một không gian.")</f>
        <v>Gửi và nhận tin nhắn trực tiếp với một thành viên khác trong gia đình cùng làm việc trong cùng một không gian.</v>
      </c>
      <c r="G46" s="40" t="str">
        <f>IF('Use Case Tracker'!G63="","",SWITCH('Use Case Tracker'!G63,"Must-have","Bắt buộc","Should-have","Nên có","Could-have","Có thể có",'Use Case Tracker'!G63))</f>
        <v>Có thể có</v>
      </c>
      <c r="H46" s="40" t="str">
        <f>IF('Use Case Tracker'!H63="","",SWITCH('Use Case Tracker'!H63,"Not Started","Chưa bắt đầu","In Progress","Đang làm","Done","Hoàn thành",'Use Case Tracker'!H63))</f>
        <v>Chưa bắt đầu</v>
      </c>
      <c r="J46" s="40" t="str">
        <f>IF('Use Case Tracker'!J63="","",'Use Case Tracker'!J63)</f>
        <v>BR-COM-02</v>
      </c>
      <c r="K46" s="40" t="str">
        <f>IFERROR(__xludf.DUMMYFUNCTION("IF('Use Case Tracker'!K63="""","""",IFERROR(GOOGLETRANSLATE('Use Case Tracker'!K63,""en"",""vi""),'Use Case Tracker'!K63))"),"Có thể làm sau buổi trò chuyện nhóm nếu còn thời gian.")</f>
        <v>Có thể làm sau buổi trò chuyện nhóm nếu còn thời gian.</v>
      </c>
      <c r="L46" s="40" t="str">
        <f>IF('Use Case Tracker'!L63="","",SWITCH('Use Case Tracker'!L63,"Keep","Giữ trong scope","Could-have / Do after core","Có thể có / Làm sau core",'Use Case Tracker'!L63))</f>
        <v>Giữ trong scope</v>
      </c>
    </row>
    <row r="47" ht="22.5" customHeight="1">
      <c r="A47" s="40" t="str">
        <f>IF('Use Case Tracker'!A64="","",'Use Case Tracker'!A64)</f>
        <v>UC63</v>
      </c>
      <c r="B47" s="40" t="str">
        <f>IFERROR(__xludf.DUMMYFUNCTION("IF('Use Case Tracker'!B64="""","""",IFERROR(GOOGLETRANSLATE('Use Case Tracker'!B64,""en"",""vi""),'Use Case Tracker'!B64))"),"Gửi thông báo cho gia đình")</f>
        <v>Gửi thông báo cho gia đình</v>
      </c>
      <c r="C47" s="40" t="str">
        <f>IFERROR(__xludf.DUMMYFUNCTION("IF('Use Case Tracker'!C64="""","""",IFERROR(GOOGLETRANSLATE('Use Case Tracker'!C64,""en"",""vi""),'Use Case Tracker'!C64))"),"Hỗ trợ giao tiếp")</f>
        <v>Hỗ trợ giao tiếp</v>
      </c>
      <c r="D47" s="40" t="str">
        <f>IFERROR(__xludf.DUMMYFUNCTION("IF('Use Case Tracker'!D64="""","""",IFERROR(GOOGLETRANSLATE('Use Case Tracker'!D64,""en"",""vi""),'Use Case Tracker'!D64))"),"Giao tiếp")</f>
        <v>Giao tiếp</v>
      </c>
      <c r="E47" s="40" t="str">
        <f>IFERROR(__xludf.DUMMYFUNCTION("IF('Use Case Tracker'!E64="""","""",IFERROR(GOOGLETRANSLATE('Use Case Tracker'!E64,""en"",""vi""),'Use Case Tracker'!E64))"),"Người quản lý gia đình / Thành viên gia đình được ủy quyền thay mặt")</f>
        <v>Người quản lý gia đình / Thành viên gia đình được ủy quyền thay mặt</v>
      </c>
      <c r="F47" s="40" t="str">
        <f>IFERROR(__xludf.DUMMYFUNCTION("IF('Use Case Tracker'!F64="""","""",IFERROR(GOOGLETRANSLATE('Use Case Tracker'!F64,""en"",""vi""),'Use Case Tracker'!F64))"),"Gửi thông báo quan trọng đến tất cả thành viên trong Nhóm làm việc gia đình.")</f>
        <v>Gửi thông báo quan trọng đến tất cả thành viên trong Nhóm làm việc gia đình.</v>
      </c>
      <c r="G47" s="40" t="str">
        <f>IF('Use Case Tracker'!G64="","",SWITCH('Use Case Tracker'!G64,"Must-have","Bắt buộc","Should-have","Nên có","Could-have","Có thể có",'Use Case Tracker'!G64))</f>
        <v>Nên có</v>
      </c>
      <c r="H47" s="40" t="str">
        <f>IF('Use Case Tracker'!H64="","",SWITCH('Use Case Tracker'!H64,"Not Started","Chưa bắt đầu","In Progress","Đang làm","Done","Hoàn thành",'Use Case Tracker'!H64))</f>
        <v>Chưa bắt đầu</v>
      </c>
      <c r="J47" s="40" t="str">
        <f>IF('Use Case Tracker'!J64="","",'Use Case Tracker'!J64)</f>
        <v>BR-COM-03</v>
      </c>
      <c r="K47" s="40" t="str">
        <f>IFERROR(__xludf.DUMMYFUNCTION("IF('Use Case Tracker'!K64="""","""",IFERROR(GOOGLETRANSLATE('Use Case Tracker'!K64,""en"",""vi""),'Use Case Tracker'!K64))"),"Hữu ích cho việc cập nhật thông tin trong toàn gia đình; hãy giữ mọi thứ đơn giản.")</f>
        <v>Hữu ích cho việc cập nhật thông tin trong toàn gia đình; hãy giữ mọi thứ đơn giản.</v>
      </c>
      <c r="L47" s="40" t="str">
        <f>IF('Use Case Tracker'!L64="","",SWITCH('Use Case Tracker'!L64,"Keep","Giữ trong scope","Could-have / Do after core","Có thể có / Làm sau core",'Use Case Tracker'!L64))</f>
        <v>Giữ trong scope</v>
      </c>
    </row>
    <row r="48" ht="22.5" customHeight="1">
      <c r="A48" s="40" t="str">
        <f>IF('Use Case Tracker'!A65="","",'Use Case Tracker'!A65)</f>
        <v>UC64</v>
      </c>
      <c r="B48" s="40" t="str">
        <f>IFERROR(__xludf.DUMMYFUNCTION("IF('Use Case Tracker'!B65="""","""",IFERROR(GOOGLETRANSLATE('Use Case Tracker'!B65,""en"",""vi""),'Use Case Tracker'!B65))"),"Sử dụng hệ thống liên lạc an toàn nhanh chóng")</f>
        <v>Sử dụng hệ thống liên lạc an toàn nhanh chóng</v>
      </c>
      <c r="C48" s="40" t="str">
        <f>IFERROR(__xludf.DUMMYFUNCTION("IF('Use Case Tracker'!C65="""","""",IFERROR(GOOGLETRANSLATE('Use Case Tracker'!C65,""en"",""vi""),'Use Case Tracker'!C65))"),"Hỗ trợ giao tiếp")</f>
        <v>Hỗ trợ giao tiếp</v>
      </c>
      <c r="D48" s="40" t="str">
        <f>IFERROR(__xludf.DUMMYFUNCTION("IF('Use Case Tracker'!D65="""","""",IFERROR(GOOGLETRANSLATE('Use Case Tracker'!D65,""en"",""vi""),'Use Case Tracker'!D65))"),"Liên lạc / SOS")</f>
        <v>Liên lạc / SOS</v>
      </c>
      <c r="E48" s="40" t="str">
        <f>IFERROR(__xludf.DUMMYFUNCTION("IF('Use Case Tracker'!E65="""","""",IFERROR(GOOGLETRANSLATE('Use Case Tracker'!E65,""en"",""vi""),'Use Case Tracker'!E65))"),"Tất cả các thành viên trong gia đình")</f>
        <v>Tất cả các thành viên trong gia đình</v>
      </c>
      <c r="F48" s="40" t="str">
        <f>IFERROR(__xludf.DUMMYFUNCTION("IF('Use Case Tracker'!F65="""","""",IFERROR(GOOGLETRANSLATE('Use Case Tracker'!F65,""en"",""vi""),'Use Case Tracker'!F65))"),"Hãy sử dụng phím tắt nhắn tin nhanh hoặc gọi hỗ trợ trong các tình huống liên quan đến an toàn.")</f>
        <v>Hãy sử dụng phím tắt nhắn tin nhanh hoặc gọi hỗ trợ trong các tình huống liên quan đến an toàn.</v>
      </c>
      <c r="G48" s="40" t="str">
        <f>IF('Use Case Tracker'!G65="","",SWITCH('Use Case Tracker'!G65,"Must-have","Bắt buộc","Should-have","Nên có","Could-have","Có thể có",'Use Case Tracker'!G65))</f>
        <v>Có thể có</v>
      </c>
      <c r="H48" s="40" t="str">
        <f>IF('Use Case Tracker'!H65="","",SWITCH('Use Case Tracker'!H65,"Not Started","Chưa bắt đầu","In Progress","Đang làm","Done","Hoàn thành",'Use Case Tracker'!H65))</f>
        <v>Chưa bắt đầu</v>
      </c>
      <c r="J48" s="40" t="str">
        <f>IF('Use Case Tracker'!J65="","",'Use Case Tracker'!J65)</f>
        <v>BR-COM-04, BR-SOS-02</v>
      </c>
      <c r="K48" s="40" t="str">
        <f>IFERROR(__xludf.DUMMYFUNCTION("IF('Use Case Tracker'!K65="""","""",IFERROR(GOOGLETRANSLATE('Use Case Tracker'!K65,""en"",""vi""),'Use Case Tracker'!K65))"),"Có thể hiển thị dưới dạng nút/phím tắt giao diện người dùng; không cần tích hợp cuộc gọi thực sự.")</f>
        <v>Có thể hiển thị dưới dạng nút/phím tắt giao diện người dùng; không cần tích hợp cuộc gọi thực sự.</v>
      </c>
      <c r="L48" s="40" t="str">
        <f>IF('Use Case Tracker'!L65="","",SWITCH('Use Case Tracker'!L65,"Keep","Giữ trong scope","Could-have / Do after core","Có thể có / Làm sau core",'Use Case Tracker'!L65))</f>
        <v>Could-have</v>
      </c>
    </row>
    <row r="49" ht="22.5" customHeight="1">
      <c r="A49" s="40" t="str">
        <f>IF('Use Case Tracker'!A66="","",'Use Case Tracker'!A66)</f>
        <v>UC65</v>
      </c>
      <c r="B49" s="40" t="str">
        <f>IFERROR(__xludf.DUMMYFUNCTION("IF('Use Case Tracker'!B66="""","""",IFERROR(GOOGLETRANSLATE('Use Case Tracker'!B66,""en"",""vi""),'Use Case Tracker'!B66))"),"Hỏi trợ lý AI")</f>
        <v>Hỏi trợ lý AI</v>
      </c>
      <c r="C49" s="40" t="str">
        <f>IFERROR(__xludf.DUMMYFUNCTION("IF('Use Case Tracker'!C66="""","""",IFERROR(GOOGLETRANSLATE('Use Case Tracker'!C66,""en"",""vi""),'Use Case Tracker'!C66))"),"Hỗ trợ thông tin chi tiết về AI")</f>
        <v>Hỗ trợ thông tin chi tiết về AI</v>
      </c>
      <c r="D49" s="40" t="str">
        <f>IFERROR(__xludf.DUMMYFUNCTION("IF('Use Case Tracker'!D66="""","""",IFERROR(GOOGLETRANSLATE('Use Case Tracker'!D66,""en"",""vi""),'Use Case Tracker'!D66))"),"Trí tuệ nhân tạo")</f>
        <v>Trí tuệ nhân tạo</v>
      </c>
      <c r="E49" s="40" t="str">
        <f>IFERROR(__xludf.DUMMYFUNCTION("IF('Use Case Tracker'!E66="""","""",IFERROR(GOOGLETRANSLATE('Use Case Tracker'!E66,""en"",""vi""),'Use Case Tracker'!E66))"),"Tất cả các thành viên trong gia đình")</f>
        <v>Tất cả các thành viên trong gia đình</v>
      </c>
      <c r="F49" s="40" t="str">
        <f>IFERROR(__xludf.DUMMYFUNCTION("IF('Use Case Tracker'!F66="""","""",IFERROR(GOOGLETRANSLATE('Use Case Tracker'!F66,""en"",""vi""),'Use Case Tracker'!F66))"),"Người dùng đặt câu hỏi cho Trợ lý AI về tài chính gia đình, tình trạng công việc, nhắc nhở, gợi ý tiết kiệm hoặc các hoạt động chung của gia đình dựa trên dữ liệu và quyền hạn hiện có.")</f>
        <v>Người dùng đặt câu hỏi cho Trợ lý AI về tài chính gia đình, tình trạng công việc, nhắc nhở, gợi ý tiết kiệm hoặc các hoạt động chung của gia đình dựa trên dữ liệu và quyền hạn hiện có.</v>
      </c>
      <c r="G49" s="40" t="str">
        <f>IF('Use Case Tracker'!G66="","",SWITCH('Use Case Tracker'!G66,"Must-have","Bắt buộc","Should-have","Nên có","Could-have","Có thể có",'Use Case Tracker'!G66))</f>
        <v>Nên có</v>
      </c>
      <c r="H49" s="40" t="str">
        <f>IF('Use Case Tracker'!H66="","",SWITCH('Use Case Tracker'!H66,"Not Started","Chưa bắt đầu","In Progress","Đang làm","Done","Hoàn thành",'Use Case Tracker'!H66))</f>
        <v>Chưa bắt đầu</v>
      </c>
      <c r="J49" s="40" t="str">
        <f>IF('Use Case Tracker'!J66="","",'Use Case Tracker'!J66)</f>
        <v>BR-AI-01, BR-AI-02</v>
      </c>
      <c r="K49" s="40" t="str">
        <f>IFERROR(__xludf.DUMMYFUNCTION("IF('Use Case Tracker'!K66="""","""",IFERROR(GOOGLETRANSLATE('Use Case Tracker'!K66,""en"",""vi""),'Use Case Tracker'!K66))"),"Trí tuệ nhân tạo (AI) là một tính năng hỗ trợ, không phải là một luồng hoạt động cốt lõi. Nó phải tôn trọng quyền hạn của người dùng và ngữ cảnh không gian làm việc.")</f>
        <v>Trí tuệ nhân tạo (AI) là một tính năng hỗ trợ, không phải là một luồng hoạt động cốt lõi. Nó phải tôn trọng quyền hạn của người dùng và ngữ cảnh không gian làm việc.</v>
      </c>
      <c r="L49" s="40" t="str">
        <f>IF('Use Case Tracker'!L66="","",SWITCH('Use Case Tracker'!L66,"Keep","Giữ trong scope","Could-have / Do after core","Có thể có / Làm sau core",'Use Case Tracker'!L66))</f>
        <v>Keep / Supporting</v>
      </c>
    </row>
    <row r="50" ht="22.5" customHeight="1">
      <c r="A50" s="40" t="str">
        <f>IF('Use Case Tracker'!A67="","",'Use Case Tracker'!A67)</f>
        <v>UC66</v>
      </c>
      <c r="B50" s="40" t="str">
        <f>IFERROR(__xludf.DUMMYFUNCTION("IF('Use Case Tracker'!B67="""","""",IFERROR(GOOGLETRANSLATE('Use Case Tracker'!B67,""en"",""vi""),'Use Case Tracker'!B67))"),"Xem tóm tắt về Tài chính AI")</f>
        <v>Xem tóm tắt về Tài chính AI</v>
      </c>
      <c r="C50" s="40" t="str">
        <f>IFERROR(__xludf.DUMMYFUNCTION("IF('Use Case Tracker'!C67="""","""",IFERROR(GOOGLETRANSLATE('Use Case Tracker'!C67,""en"",""vi""),'Use Case Tracker'!C67))"),"Hỗ trợ thông tin chi tiết về AI")</f>
        <v>Hỗ trợ thông tin chi tiết về AI</v>
      </c>
      <c r="D50" s="40" t="str">
        <f>IFERROR(__xludf.DUMMYFUNCTION("IF('Use Case Tracker'!D67="""","""",IFERROR(GOOGLETRANSLATE('Use Case Tracker'!D67,""en"",""vi""),'Use Case Tracker'!D67))"),"Trí tuệ nhân tạo / Tài chính")</f>
        <v>Trí tuệ nhân tạo / Tài chính</v>
      </c>
      <c r="E50" s="40" t="str">
        <f>IFERROR(__xludf.DUMMYFUNCTION("IF('Use Case Tracker'!E67="""","""",IFERROR(GOOGLETRANSLATE('Use Case Tracker'!E67,""en"",""vi""),'Use Case Tracker'!E67))"),"Người quản lý gia đình / Thành viên gia đình được ủy quyền thay mặt")</f>
        <v>Người quản lý gia đình / Thành viên gia đình được ủy quyền thay mặt</v>
      </c>
      <c r="F50" s="40" t="str">
        <f>IFERROR(__xludf.DUMMYFUNCTION("IF('Use Case Tracker'!F67="""","""",IFERROR(GOOGLETRANSLATE('Use Case Tracker'!F67,""en"",""vi""),'Use Case Tracker'!F67))"),"AI tóm tắt tình hình tài chính gia đình, số dư quỹ gia đình, tình trạng chi tiêu, so sánh kế hoạch với thực tế và cảnh báo ngân sách dựa trên dữ liệu mà người dùng được phép xem.")</f>
        <v>AI tóm tắt tình hình tài chính gia đình, số dư quỹ gia đình, tình trạng chi tiêu, so sánh kế hoạch với thực tế và cảnh báo ngân sách dựa trên dữ liệu mà người dùng được phép xem.</v>
      </c>
      <c r="G50" s="40" t="str">
        <f>IF('Use Case Tracker'!G67="","",SWITCH('Use Case Tracker'!G67,"Must-have","Bắt buộc","Should-have","Nên có","Could-have","Có thể có",'Use Case Tracker'!G67))</f>
        <v>Nên có</v>
      </c>
      <c r="H50" s="40" t="str">
        <f>IF('Use Case Tracker'!H67="","",SWITCH('Use Case Tracker'!H67,"Not Started","Chưa bắt đầu","In Progress","Đang làm","Done","Hoàn thành",'Use Case Tracker'!H67))</f>
        <v>Chưa bắt đầu</v>
      </c>
      <c r="J50" s="40" t="str">
        <f>IF('Use Case Tracker'!J67="","",'Use Case Tracker'!J67)</f>
        <v>BR-AI-01, BR-AI-03, BR-FIN-05, BR-FIN-06</v>
      </c>
      <c r="K50" s="40" t="str">
        <f>IFERROR(__xludf.DUMMYFUNCTION("IF('Use Case Tracker'!K67="""","""",IFERROR(GOOGLETRANSLATE('Use Case Tracker'!K67,""en"",""vi""),'Use Case Tracker'!K67))"),"Dữ liệu tài chính nhạy cảm không được phép tiết lộ cho các thành viên gia đình không được ủy quyền.")</f>
        <v>Dữ liệu tài chính nhạy cảm không được phép tiết lộ cho các thành viên gia đình không được ủy quyền.</v>
      </c>
      <c r="L50" s="40" t="str">
        <f>IF('Use Case Tracker'!L67="","",SWITCH('Use Case Tracker'!L67,"Keep","Giữ trong scope","Could-have / Do after core","Có thể có / Làm sau core",'Use Case Tracker'!L67))</f>
        <v>Keep / Supporting</v>
      </c>
    </row>
    <row r="51" ht="22.5" customHeight="1">
      <c r="A51" s="40" t="str">
        <f>IF('Use Case Tracker'!A68="","",'Use Case Tracker'!A68)</f>
        <v>UC67</v>
      </c>
      <c r="B51" s="40" t="str">
        <f>IFERROR(__xludf.DUMMYFUNCTION("IF('Use Case Tracker'!B68="""","""",IFERROR(GOOGLETRANSLATE('Use Case Tracker'!B68,""en"",""vi""),'Use Case Tracker'!B68))"),"Xem tóm tắt nhiệm vụ AI")</f>
        <v>Xem tóm tắt nhiệm vụ AI</v>
      </c>
      <c r="C51" s="40" t="str">
        <f>IFERROR(__xludf.DUMMYFUNCTION("IF('Use Case Tracker'!C68="""","""",IFERROR(GOOGLETRANSLATE('Use Case Tracker'!C68,""en"",""vi""),'Use Case Tracker'!C68))"),"Hỗ trợ thông tin chi tiết về AI")</f>
        <v>Hỗ trợ thông tin chi tiết về AI</v>
      </c>
      <c r="D51" s="40" t="str">
        <f>IFERROR(__xludf.DUMMYFUNCTION("IF('Use Case Tracker'!D68="""","""",IFERROR(GOOGLETRANSLATE('Use Case Tracker'!D68,""en"",""vi""),'Use Case Tracker'!D68))"),"Trí tuệ nhân tạo / Nhiệm vụ")</f>
        <v>Trí tuệ nhân tạo / Nhiệm vụ</v>
      </c>
      <c r="E51" s="40" t="str">
        <f>IFERROR(__xludf.DUMMYFUNCTION("IF('Use Case Tracker'!E68="""","""",IFERROR(GOOGLETRANSLATE('Use Case Tracker'!E68,""en"",""vi""),'Use Case Tracker'!E68))"),"Người quản lý gia đình / Thành viên gia đình")</f>
        <v>Người quản lý gia đình / Thành viên gia đình</v>
      </c>
      <c r="F51" s="40" t="str">
        <f>IFERROR(__xludf.DUMMYFUNCTION("IF('Use Case Tracker'!F68="""","""",IFERROR(GOOGLETRANSLATE('Use Case Tracker'!F68,""en"",""vi""),'Use Case Tracker'!F68))"),"AI tóm tắt các nhiệm vụ đã được giao, nhiệm vụ đang chờ xử lý, nhiệm vụ định kỳ không khả dụng, nhiệm vụ đã hoàn thành và trạng thái thanh toán phần thưởng dựa trên vai trò và quyền hạn thực hiện nhiệm vụ.")</f>
        <v>AI tóm tắt các nhiệm vụ đã được giao, nhiệm vụ đang chờ xử lý, nhiệm vụ định kỳ không khả dụng, nhiệm vụ đã hoàn thành và trạng thái thanh toán phần thưởng dựa trên vai trò và quyền hạn thực hiện nhiệm vụ.</v>
      </c>
      <c r="G51" s="40" t="str">
        <f>IF('Use Case Tracker'!G68="","",SWITCH('Use Case Tracker'!G68,"Must-have","Bắt buộc","Should-have","Nên có","Could-have","Có thể có",'Use Case Tracker'!G68))</f>
        <v>Nên có</v>
      </c>
      <c r="H51" s="40" t="str">
        <f>IF('Use Case Tracker'!H68="","",SWITCH('Use Case Tracker'!H68,"Not Started","Chưa bắt đầu","In Progress","Đang làm","Done","Hoàn thành",'Use Case Tracker'!H68))</f>
        <v>Chưa bắt đầu</v>
      </c>
      <c r="J51" s="40" t="str">
        <f>IF('Use Case Tracker'!J68="","",'Use Case Tracker'!J68)</f>
        <v>BR-AI-01, BR-AI-02, BR-TASK-02, BR-TASK-04, BR-REW-02</v>
      </c>
      <c r="K51" s="40" t="str">
        <f>IFERROR(__xludf.DUMMYFUNCTION("IF('Use Case Tracker'!K68="""","""",IFERROR(GOOGLETRANSLATE('Use Case Tracker'!K68,""en"",""vi""),'Use Case Tracker'!K68))"),"Trí tuệ nhân tạo (AI) chỉ tóm tắt trạng thái nhiệm vụ/phần thưởng và lời nhắc; nó không tự động chỉ định, phê duyệt hoặc thanh toán phần thưởng.")</f>
        <v>Trí tuệ nhân tạo (AI) chỉ tóm tắt trạng thái nhiệm vụ/phần thưởng và lời nhắc; nó không tự động chỉ định, phê duyệt hoặc thanh toán phần thưởng.</v>
      </c>
      <c r="L51" s="40" t="str">
        <f>IF('Use Case Tracker'!L68="","",SWITCH('Use Case Tracker'!L68,"Keep","Giữ trong scope","Could-have / Do after core","Có thể có / Làm sau core",'Use Case Tracker'!L68))</f>
        <v>Keep / Supporting</v>
      </c>
    </row>
    <row r="52" ht="22.5" customHeight="1">
      <c r="A52" s="40" t="str">
        <f>IF('Use Case Tracker'!A69="","",'Use Case Tracker'!A69)</f>
        <v>UC68</v>
      </c>
      <c r="B52" s="40" t="str">
        <f>IFERROR(__xludf.DUMMYFUNCTION("IF('Use Case Tracker'!B69="""","""",IFERROR(GOOGLETRANSLATE('Use Case Tracker'!B69,""en"",""vi""),'Use Case Tracker'!B69))"),"Nhận các đề xuất về ngân sách và tiết kiệm dựa trên trí tuệ nhân tạo")</f>
        <v>Nhận các đề xuất về ngân sách và tiết kiệm dựa trên trí tuệ nhân tạo</v>
      </c>
      <c r="C52" s="40" t="str">
        <f>IFERROR(__xludf.DUMMYFUNCTION("IF('Use Case Tracker'!C69="""","""",IFERROR(GOOGLETRANSLATE('Use Case Tracker'!C69,""en"",""vi""),'Use Case Tracker'!C69))"),"Hỗ trợ thông tin chi tiết về AI")</f>
        <v>Hỗ trợ thông tin chi tiết về AI</v>
      </c>
      <c r="D52" s="40" t="str">
        <f>IFERROR(__xludf.DUMMYFUNCTION("IF('Use Case Tracker'!D69="""","""",IFERROR(GOOGLETRANSLATE('Use Case Tracker'!D69,""en"",""vi""),'Use Case Tracker'!D69))"),"Trí tuệ nhân tạo / Tài chính")</f>
        <v>Trí tuệ nhân tạo / Tài chính</v>
      </c>
      <c r="E52" s="40" t="str">
        <f>IFERROR(__xludf.DUMMYFUNCTION("IF('Use Case Tracker'!E69="""","""",IFERROR(GOOGLETRANSLATE('Use Case Tracker'!E69,""en"",""vi""),'Use Case Tracker'!E69))"),"Quản lý gia đình")</f>
        <v>Quản lý gia đình</v>
      </c>
      <c r="F52" s="40" t="str">
        <f>IFERROR(__xludf.DUMMYFUNCTION("IF('Use Case Tracker'!F69="""","""",IFERROR(GOOGLETRANSLATE('Use Case Tracker'!F69,""en"",""vi""),'Use Case Tracker'!F69))"),"Trí tuệ nhân tạo (AI) đưa ra các đề xuất về ngân sách và tiết kiệm dựa trên ngân sách đã ghi nhận, chi phí thực tế, phần thưởng cho nhiệm vụ và dữ liệu tài chính gia đình được cho phép.")</f>
        <v>Trí tuệ nhân tạo (AI) đưa ra các đề xuất về ngân sách và tiết kiệm dựa trên ngân sách đã ghi nhận, chi phí thực tế, phần thưởng cho nhiệm vụ và dữ liệu tài chính gia đình được cho phép.</v>
      </c>
      <c r="G52" s="40" t="str">
        <f>IF('Use Case Tracker'!G69="","",SWITCH('Use Case Tracker'!G69,"Must-have","Bắt buộc","Should-have","Nên có","Could-have","Có thể có",'Use Case Tracker'!G69))</f>
        <v>Nên có</v>
      </c>
      <c r="H52" s="40" t="str">
        <f>IF('Use Case Tracker'!H69="","",SWITCH('Use Case Tracker'!H69,"Not Started","Chưa bắt đầu","In Progress","Đang làm","Done","Hoàn thành",'Use Case Tracker'!H69))</f>
        <v>Chưa bắt đầu</v>
      </c>
      <c r="J52" s="40" t="str">
        <f>IF('Use Case Tracker'!J69="","",'Use Case Tracker'!J69)</f>
        <v>BR-AI-01, BR-AI-02, BR-AI-04, BR-FIN-05, BR-FIN-06</v>
      </c>
      <c r="K52" s="40" t="str">
        <f>IFERROR(__xludf.DUMMYFUNCTION("IF('Use Case Tracker'!K69="""","""",IFERROR(GOOGLETRANSLATE('Use Case Tracker'!K69,""en"",""vi""),'Use Case Tracker'!K69))"),"Trí tuệ nhân tạo (AI) chỉ đưa ra tóm tắt và gợi ý. Nó không tự động đưa ra quyết định tài chính hoặc tự động thay đổi dữ liệu.")</f>
        <v>Trí tuệ nhân tạo (AI) chỉ đưa ra tóm tắt và gợi ý. Nó không tự động đưa ra quyết định tài chính hoặc tự động thay đổi dữ liệu.</v>
      </c>
      <c r="L52" s="40" t="str">
        <f>IF('Use Case Tracker'!L69="","",SWITCH('Use Case Tracker'!L69,"Keep","Giữ trong scope","Could-have / Do after core","Có thể có / Làm sau core",'Use Case Tracker'!L69))</f>
        <v>Keep / Supporting</v>
      </c>
    </row>
    <row r="53" ht="22.5" customHeight="1">
      <c r="A53" s="40" t="str">
        <f>IF('Use Case Tracker'!A70="","",'Use Case Tracker'!A70)</f>
        <v>UC69</v>
      </c>
      <c r="B53" s="40" t="str">
        <f>IFERROR(__xludf.DUMMYFUNCTION("IF('Use Case Tracker'!B70="""","""",IFERROR(GOOGLETRANSLATE('Use Case Tracker'!B70,""en"",""vi""),'Use Case Tracker'!B70))"),"Yêu cầu đặt lại mật khẩu")</f>
        <v>Yêu cầu đặt lại mật khẩu</v>
      </c>
      <c r="C53" s="40" t="str">
        <f>IFERROR(__xludf.DUMMYFUNCTION("IF('Use Case Tracker'!C70="""","""",IFERROR(GOOGLETRANSLATE('Use Case Tracker'!C70,""en"",""vi""),'Use Case Tracker'!C70))"),"Luồng 1")</f>
        <v>Luồng 1</v>
      </c>
      <c r="D53" s="40" t="str">
        <f>IFERROR(__xludf.DUMMYFUNCTION("IF('Use Case Tracker'!D70="""","""",IFERROR(GOOGLETRANSLATE('Use Case Tracker'!D70,""en"",""vi""),'Use Case Tracker'!D70))"),"Xác thực")</f>
        <v>Xác thực</v>
      </c>
      <c r="E53" s="40" t="str">
        <f>IFERROR(__xludf.DUMMYFUNCTION("IF('Use Case Tracker'!E70="""","""",IFERROR(GOOGLETRANSLATE('Use Case Tracker'!E70,""en"",""vi""),'Use Case Tracker'!E70))"),"Khách/Người dùng")</f>
        <v>Khách/Người dùng</v>
      </c>
      <c r="F53" s="40" t="str">
        <f>IFERROR(__xludf.DUMMYFUNCTION("IF('Use Case Tracker'!F70="""","""",IFERROR(GOOGLETRANSLATE('Use Case Tracker'!F70,""en"",""vi""),'Use Case Tracker'!F70))"),"Khách hoặc Người dùng yêu cầu liên kết đặt lại mật khẩu để lấy lại quyền truy cập vào tài khoản của họ.")</f>
        <v>Khách hoặc Người dùng yêu cầu liên kết đặt lại mật khẩu để lấy lại quyền truy cập vào tài khoản của họ.</v>
      </c>
      <c r="G53" s="40" t="str">
        <f>IF('Use Case Tracker'!G70="","",SWITCH('Use Case Tracker'!G70,"Must-have","Bắt buộc","Should-have","Nên có","Could-have","Có thể có",'Use Case Tracker'!G70))</f>
        <v>Bắt buộc</v>
      </c>
      <c r="H53" s="40" t="str">
        <f>IF('Use Case Tracker'!H70="","",SWITCH('Use Case Tracker'!H70,"Not Started","Chưa bắt đầu","In Progress","Đang làm","Done","Hoàn thành",'Use Case Tracker'!H70))</f>
        <v>Chưa bắt đầu</v>
      </c>
      <c r="J53" s="40" t="str">
        <f>IF('Use Case Tracker'!J70="","",'Use Case Tracker'!J70)</f>
        <v>BR-AUTH-02</v>
      </c>
      <c r="K53" s="40" t="str">
        <f>IFERROR(__xludf.DUMMYFUNCTION("IF('Use Case Tracker'!K70="""","""",IFERROR(GOOGLETRANSLATE('Use Case Tracker'!K70,""en"",""vi""),'Use Case Tracker'!K70))"),"")</f>
        <v/>
      </c>
      <c r="L53" s="40" t="str">
        <f>IF('Use Case Tracker'!L70="","",SWITCH('Use Case Tracker'!L70,"Keep","Giữ trong scope","Could-have / Do after core","Có thể có / Làm sau core",'Use Case Tracker'!L70))</f>
        <v>Giữ trong scope</v>
      </c>
    </row>
    <row r="54" ht="22.5" customHeight="1">
      <c r="A54" s="40" t="str">
        <f>IF('Use Case Tracker'!A71="","",'Use Case Tracker'!A71)</f>
        <v>UC70</v>
      </c>
      <c r="B54" s="40" t="str">
        <f>IFERROR(__xludf.DUMMYFUNCTION("IF('Use Case Tracker'!B71="""","""",IFERROR(GOOGLETRANSLATE('Use Case Tracker'!B71,""en"",""vi""),'Use Case Tracker'!B71))"),"Tạo sự kiện lịch gia đình")</f>
        <v>Tạo sự kiện lịch gia đình</v>
      </c>
      <c r="C54" s="40" t="str">
        <f>IFERROR(__xludf.DUMMYFUNCTION("IF('Use Case Tracker'!C71="""","""",IFERROR(GOOGLETRANSLATE('Use Case Tracker'!C71,""en"",""vi""),'Use Case Tracker'!C71))"),"Lịch hỗ trợ")</f>
        <v>Lịch hỗ trợ</v>
      </c>
      <c r="D54" s="40" t="str">
        <f>IFERROR(__xludf.DUMMYFUNCTION("IF('Use Case Tracker'!D71="""","""",IFERROR(GOOGLETRANSLATE('Use Case Tracker'!D71,""en"",""vi""),'Use Case Tracker'!D71))"),"Lịch")</f>
        <v>Lịch</v>
      </c>
      <c r="E54" s="40" t="str">
        <f>IFERROR(__xludf.DUMMYFUNCTION("IF('Use Case Tracker'!E71="""","""",IFERROR(GOOGLETRANSLATE('Use Case Tracker'!E71,""en"",""vi""),'Use Case Tracker'!E71))"),"Quản gia/Phó quản gia")</f>
        <v>Quản gia/Phó quản gia</v>
      </c>
      <c r="F54" s="40" t="str">
        <f>IFERROR(__xludf.DUMMYFUNCTION("IF('Use Case Tracker'!F71="""","""",IFERROR(GOOGLETRANSLATE('Use Case Tracker'!F71,""en"",""vi""),'Use Case Tracker'!F71))"),"Quản lý hoặc Phó quản lý gia đình tạo một sự kiện mới trong lịch chung của gia đình.")</f>
        <v>Quản lý hoặc Phó quản lý gia đình tạo một sự kiện mới trong lịch chung của gia đình.</v>
      </c>
      <c r="G54" s="40" t="str">
        <f>IF('Use Case Tracker'!G71="","",SWITCH('Use Case Tracker'!G71,"Must-have","Bắt buộc","Should-have","Nên có","Could-have","Có thể có",'Use Case Tracker'!G71))</f>
        <v>Bắt buộc</v>
      </c>
      <c r="H54" s="40" t="str">
        <f>IF('Use Case Tracker'!H71="","",SWITCH('Use Case Tracker'!H71,"Not Started","Chưa bắt đầu","In Progress","Đang làm","Done","Hoàn thành",'Use Case Tracker'!H71))</f>
        <v>Chưa bắt đầu</v>
      </c>
      <c r="J54" s="40" t="str">
        <f>IF('Use Case Tracker'!J71="","",'Use Case Tracker'!J71)</f>
        <v>BR-CAL-01</v>
      </c>
      <c r="K54" s="40" t="str">
        <f>IFERROR(__xludf.DUMMYFUNCTION("IF('Use Case Tracker'!K71="""","""",IFERROR(GOOGLETRANSLATE('Use Case Tracker'!K71,""en"",""vi""),'Use Case Tracker'!K71))"),"")</f>
        <v/>
      </c>
      <c r="L54" s="40" t="str">
        <f>IF('Use Case Tracker'!L71="","",SWITCH('Use Case Tracker'!L71,"Keep","Giữ trong scope","Could-have / Do after core","Có thể có / Làm sau core",'Use Case Tracker'!L71))</f>
        <v>Giữ trong scope</v>
      </c>
    </row>
    <row r="55" ht="22.5" customHeight="1">
      <c r="A55" s="40" t="str">
        <f>IF('Use Case Tracker'!A72="","",'Use Case Tracker'!A72)</f>
        <v>UC71</v>
      </c>
      <c r="B55" s="40" t="str">
        <f>IFERROR(__xludf.DUMMYFUNCTION("IF('Use Case Tracker'!B72="""","""",IFERROR(GOOGLETRANSLATE('Use Case Tracker'!B72,""en"",""vi""),'Use Case Tracker'!B72))"),"Xem các sự kiện trong lịch gia đình")</f>
        <v>Xem các sự kiện trong lịch gia đình</v>
      </c>
      <c r="C55" s="40" t="str">
        <f>IFERROR(__xludf.DUMMYFUNCTION("IF('Use Case Tracker'!C72="""","""",IFERROR(GOOGLETRANSLATE('Use Case Tracker'!C72,""en"",""vi""),'Use Case Tracker'!C72))"),"Lịch hỗ trợ")</f>
        <v>Lịch hỗ trợ</v>
      </c>
      <c r="D55" s="40" t="str">
        <f>IFERROR(__xludf.DUMMYFUNCTION("IF('Use Case Tracker'!D72="""","""",IFERROR(GOOGLETRANSLATE('Use Case Tracker'!D72,""en"",""vi""),'Use Case Tracker'!D72))"),"Lịch")</f>
        <v>Lịch</v>
      </c>
      <c r="E55" s="40" t="str">
        <f>IFERROR(__xludf.DUMMYFUNCTION("IF('Use Case Tracker'!E72="""","""",IFERROR(GOOGLETRANSLATE('Use Case Tracker'!E72,""en"",""vi""),'Use Case Tracker'!E72))"),"Tất cả các thành viên trong gia đình")</f>
        <v>Tất cả các thành viên trong gia đình</v>
      </c>
      <c r="F55" s="40" t="str">
        <f>IFERROR(__xludf.DUMMYFUNCTION("IF('Use Case Tracker'!F72="""","""",IFERROR(GOOGLETRANSLATE('Use Case Tracker'!F72,""en"",""vi""),'Use Case Tracker'!F72))"),"Tất cả các thành viên trong gia đình đều có thể xem các sự kiện sắp tới và lời nhắc nhở trong lịch chung của gia đình.")</f>
        <v>Tất cả các thành viên trong gia đình đều có thể xem các sự kiện sắp tới và lời nhắc nhở trong lịch chung của gia đình.</v>
      </c>
      <c r="G55" s="40" t="str">
        <f>IF('Use Case Tracker'!G72="","",SWITCH('Use Case Tracker'!G72,"Must-have","Bắt buộc","Should-have","Nên có","Could-have","Có thể có",'Use Case Tracker'!G72))</f>
        <v>Bắt buộc</v>
      </c>
      <c r="H55" s="40" t="str">
        <f>IF('Use Case Tracker'!H72="","",SWITCH('Use Case Tracker'!H72,"Not Started","Chưa bắt đầu","In Progress","Đang làm","Done","Hoàn thành",'Use Case Tracker'!H72))</f>
        <v>Chưa bắt đầu</v>
      </c>
      <c r="J55" s="40" t="str">
        <f>IF('Use Case Tracker'!J72="","",'Use Case Tracker'!J72)</f>
        <v>BR-CAL-01</v>
      </c>
      <c r="K55" s="40" t="str">
        <f>IFERROR(__xludf.DUMMYFUNCTION("IF('Use Case Tracker'!K72="""","""",IFERROR(GOOGLETRANSLATE('Use Case Tracker'!K72,""en"",""vi""),'Use Case Tracker'!K72))"),"")</f>
        <v/>
      </c>
      <c r="L55" s="40" t="str">
        <f>IF('Use Case Tracker'!L72="","",SWITCH('Use Case Tracker'!L72,"Keep","Giữ trong scope","Could-have / Do after core","Có thể có / Làm sau core",'Use Case Tracker'!L72))</f>
        <v>Giữ trong scope</v>
      </c>
    </row>
    <row r="56" ht="22.5" customHeight="1">
      <c r="A56" s="40" t="str">
        <f>IF('Use Case Tracker'!A73="","",'Use Case Tracker'!A73)</f>
        <v>UC72</v>
      </c>
      <c r="B56" s="40" t="str">
        <f>IFERROR(__xludf.DUMMYFUNCTION("IF('Use Case Tracker'!B73="""","""",IFERROR(GOOGLETRANSLATE('Use Case Tracker'!B73,""en"",""vi""),'Use Case Tracker'!B73))"),"Tải phương tiện lên Album gia đình dùng chung")</f>
        <v>Tải phương tiện lên Album gia đình dùng chung</v>
      </c>
      <c r="C56" s="40" t="str">
        <f>IFERROR(__xludf.DUMMYFUNCTION("IF('Use Case Tracker'!C73="""","""",IFERROR(GOOGLETRANSLATE('Use Case Tracker'!C73,""en"",""vi""),'Use Case Tracker'!C73))"),"Album hỗ trợ")</f>
        <v>Album hỗ trợ</v>
      </c>
      <c r="D56" s="40" t="str">
        <f>IFERROR(__xludf.DUMMYFUNCTION("IF('Use Case Tracker'!D73="""","""",IFERROR(GOOGLETRANSLATE('Use Case Tracker'!D73,""en"",""vi""),'Use Case Tracker'!D73))"),"Album")</f>
        <v>Album</v>
      </c>
      <c r="E56" s="40" t="str">
        <f>IFERROR(__xludf.DUMMYFUNCTION("IF('Use Case Tracker'!E73="""","""",IFERROR(GOOGLETRANSLATE('Use Case Tracker'!E73,""en"",""vi""),'Use Case Tracker'!E73))"),"Tất cả các thành viên trong gia đình")</f>
        <v>Tất cả các thành viên trong gia đình</v>
      </c>
      <c r="F56" s="40" t="str">
        <f>IFERROR(__xludf.DUMMYFUNCTION("IF('Use Case Tracker'!F73="""","""",IFERROR(GOOGLETRANSLATE('Use Case Tracker'!F73,""en"",""vi""),'Use Case Tracker'!F73))"),"Tất cả các thành viên trong gia đình đều tải ảnh và video lên album ảnh chung của gia đình.")</f>
        <v>Tất cả các thành viên trong gia đình đều tải ảnh và video lên album ảnh chung của gia đình.</v>
      </c>
      <c r="G56" s="40" t="str">
        <f>IF('Use Case Tracker'!G73="","",SWITCH('Use Case Tracker'!G73,"Must-have","Bắt buộc","Should-have","Nên có","Could-have","Có thể có",'Use Case Tracker'!G73))</f>
        <v>Bắt buộc</v>
      </c>
      <c r="H56" s="40" t="str">
        <f>IF('Use Case Tracker'!H73="","",SWITCH('Use Case Tracker'!H73,"Not Started","Chưa bắt đầu","In Progress","Đang làm","Done","Hoàn thành",'Use Case Tracker'!H73))</f>
        <v>Chưa bắt đầu</v>
      </c>
      <c r="J56" s="40" t="str">
        <f>IF('Use Case Tracker'!J73="","",'Use Case Tracker'!J73)</f>
        <v>BR-ALB-01</v>
      </c>
      <c r="K56" s="40" t="str">
        <f>IFERROR(__xludf.DUMMYFUNCTION("IF('Use Case Tracker'!K73="""","""",IFERROR(GOOGLETRANSLATE('Use Case Tracker'!K73,""en"",""vi""),'Use Case Tracker'!K73))"),"Chức năng tải/xem album cơ bản vẫn chỉ mang tính hỗ trợ, không phải là chức năng cốt lõi.")</f>
        <v>Chức năng tải/xem album cơ bản vẫn chỉ mang tính hỗ trợ, không phải là chức năng cốt lõi.</v>
      </c>
      <c r="L56" s="40" t="str">
        <f>IF('Use Case Tracker'!L73="","",SWITCH('Use Case Tracker'!L73,"Keep","Giữ trong scope","Could-have / Do after core","Có thể có / Làm sau core",'Use Case Tracker'!L73))</f>
        <v>Giữ trong scope</v>
      </c>
    </row>
    <row r="57">
      <c r="A57" s="42" t="str">
        <f>IF('Use Case Tracker'!A74="","",'Use Case Tracker'!A74)</f>
        <v>UC73</v>
      </c>
      <c r="B57" s="42" t="str">
        <f>IFERROR(__xludf.DUMMYFUNCTION("IF('Use Case Tracker'!B74="""","""",IFERROR(GOOGLETRANSLATE('Use Case Tracker'!B74,""en"",""vi""),'Use Case Tracker'!B74))"),"Xem Album ảnh gia đình được chia sẻ")</f>
        <v>Xem Album ảnh gia đình được chia sẻ</v>
      </c>
      <c r="C57" s="42" t="str">
        <f>IFERROR(__xludf.DUMMYFUNCTION("IF('Use Case Tracker'!C74="""","""",IFERROR(GOOGLETRANSLATE('Use Case Tracker'!C74,""en"",""vi""),'Use Case Tracker'!C74))"),"Album hỗ trợ")</f>
        <v>Album hỗ trợ</v>
      </c>
      <c r="D57" s="42" t="str">
        <f>IFERROR(__xludf.DUMMYFUNCTION("IF('Use Case Tracker'!D74="""","""",IFERROR(GOOGLETRANSLATE('Use Case Tracker'!D74,""en"",""vi""),'Use Case Tracker'!D74))"),"Album")</f>
        <v>Album</v>
      </c>
      <c r="E57" s="42" t="str">
        <f>IFERROR(__xludf.DUMMYFUNCTION("IF('Use Case Tracker'!E74="""","""",IFERROR(GOOGLETRANSLATE('Use Case Tracker'!E74,""en"",""vi""),'Use Case Tracker'!E74))"),"Tất cả các thành viên trong gia đình")</f>
        <v>Tất cả các thành viên trong gia đình</v>
      </c>
      <c r="F57" s="42" t="str">
        <f>IFERROR(__xludf.DUMMYFUNCTION("IF('Use Case Tracker'!F74="""","""",IFERROR(GOOGLETRANSLATE('Use Case Tracker'!F74,""en"",""vi""),'Use Case Tracker'!F74))"),"Tất cả các thành viên trong gia đình đều có thể xem và tương tác với ảnh và video trong album gia đình được chia sẻ.")</f>
        <v>Tất cả các thành viên trong gia đình đều có thể xem và tương tác với ảnh và video trong album gia đình được chia sẻ.</v>
      </c>
      <c r="G57" s="42" t="str">
        <f>IF('Use Case Tracker'!G74="","",SWITCH('Use Case Tracker'!G74,"Must-have","Bắt buộc","Should-have","Nên có","Could-have","Có thể có",'Use Case Tracker'!G74))</f>
        <v>Bắt buộc</v>
      </c>
      <c r="H57" s="42" t="str">
        <f>IF('Use Case Tracker'!H74="","",SWITCH('Use Case Tracker'!H74,"Not Started","Chưa bắt đầu","In Progress","Đang làm","Done","Hoàn thành",'Use Case Tracker'!H74))</f>
        <v>Chưa bắt đầu</v>
      </c>
      <c r="I57" s="42" t="str">
        <f>IF('Use Case Tracker'!I74="","",'Use Case Tracker'!I74)</f>
        <v/>
      </c>
      <c r="J57" s="42" t="str">
        <f>IF('Use Case Tracker'!J74="","",'Use Case Tracker'!J74)</f>
        <v>BR-ALB-01</v>
      </c>
      <c r="K57" s="42" t="str">
        <f>IFERROR(__xludf.DUMMYFUNCTION("IF('Use Case Tracker'!K74="""","""",IFERROR(GOOGLETRANSLATE('Use Case Tracker'!K74,""en"",""vi""),'Use Case Tracker'!K74))"),"Tính năng chia sẻ album cơ bản vẫn được duy trì.")</f>
        <v>Tính năng chia sẻ album cơ bản vẫn được duy trì.</v>
      </c>
      <c r="L57" s="42" t="str">
        <f>IF('Use Case Tracker'!L74="","",SWITCH('Use Case Tracker'!L74,"Keep","Giữ trong scope","Could-have / Do after core","Có thể có / Làm sau core",'Use Case Tracker'!L74))</f>
        <v>Giữ trong scope</v>
      </c>
    </row>
    <row r="58">
      <c r="A58" s="42" t="str">
        <f>IF('Use Case Tracker'!A75="","",'Use Case Tracker'!A75)</f>
        <v>UC74</v>
      </c>
      <c r="B58" s="42" t="str">
        <f>IFERROR(__xludf.DUMMYFUNCTION("IF('Use Case Tracker'!B75="""","""",IFERROR(GOOGLETRANSLATE('Use Case Tracker'!B75,""en"",""vi""),'Use Case Tracker'!B75))"),"Gắn thẻ các thành viên gia đình trong Album ảnh")</f>
        <v>Gắn thẻ các thành viên gia đình trong Album ảnh</v>
      </c>
      <c r="C58" s="42" t="str">
        <f>IFERROR(__xludf.DUMMYFUNCTION("IF('Use Case Tracker'!C75="""","""",IFERROR(GOOGLETRANSLATE('Use Case Tracker'!C75,""en"",""vi""),'Use Case Tracker'!C75))"),"Album hỗ trợ")</f>
        <v>Album hỗ trợ</v>
      </c>
      <c r="D58" s="42" t="str">
        <f>IFERROR(__xludf.DUMMYFUNCTION("IF('Use Case Tracker'!D75="""","""",IFERROR(GOOGLETRANSLATE('Use Case Tracker'!D75,""en"",""vi""),'Use Case Tracker'!D75))"),"Album")</f>
        <v>Album</v>
      </c>
      <c r="E58" s="42" t="str">
        <f>IFERROR(__xludf.DUMMYFUNCTION("IF('Use Case Tracker'!E75="""","""",IFERROR(GOOGLETRANSLATE('Use Case Tracker'!E75,""en"",""vi""),'Use Case Tracker'!E75))"),"Tất cả các thành viên trong gia đình")</f>
        <v>Tất cả các thành viên trong gia đình</v>
      </c>
      <c r="F58" s="42" t="str">
        <f>IFERROR(__xludf.DUMMYFUNCTION("IF('Use Case Tracker'!F75="""","""",IFERROR(GOOGLETRANSLATE('Use Case Tracker'!F75,""en"",""vi""),'Use Case Tracker'!F75))"),"Người dùng tự gắn thẻ các thành viên gia đình vào ảnh/video trong album được chia sẻ để làm cho album gia đình thêm ý nghĩa.")</f>
        <v>Người dùng tự gắn thẻ các thành viên gia đình vào ảnh/video trong album được chia sẻ để làm cho album gia đình thêm ý nghĩa.</v>
      </c>
      <c r="G58" s="42" t="str">
        <f>IF('Use Case Tracker'!G75="","",SWITCH('Use Case Tracker'!G75,"Must-have","Bắt buộc","Should-have","Nên có","Could-have","Có thể có",'Use Case Tracker'!G75))</f>
        <v>Có thể có</v>
      </c>
      <c r="H58" s="42" t="str">
        <f>IF('Use Case Tracker'!H75="","",SWITCH('Use Case Tracker'!H75,"Not Started","Chưa bắt đầu","In Progress","Đang làm","Done","Hoàn thành",'Use Case Tracker'!H75))</f>
        <v>Chưa bắt đầu</v>
      </c>
      <c r="I58" s="42" t="str">
        <f>IF('Use Case Tracker'!I75="","",'Use Case Tracker'!I75)</f>
        <v/>
      </c>
      <c r="J58" s="42" t="str">
        <f>IF('Use Case Tracker'!J75="","",'Use Case Tracker'!J75)</f>
        <v>BR-ALB-01, BR-ALB-02</v>
      </c>
      <c r="K58" s="42" t="str">
        <f>IFERROR(__xludf.DUMMYFUNCTION("IF('Use Case Tracker'!K75="""","""",IFERROR(GOOGLETRANSLATE('Use Case Tracker'!K75,""en"",""vi""),'Use Case Tracker'!K75))"),"Gắn thẻ thủ công an toàn hơn cho MVP so với việc phân cụm khuôn mặt hoàn toàn bằng AI.")</f>
        <v>Gắn thẻ thủ công an toàn hơn cho MVP so với việc phân cụm khuôn mặt hoàn toàn bằng AI.</v>
      </c>
      <c r="L58" s="42" t="str">
        <f>IF('Use Case Tracker'!L75="","",SWITCH('Use Case Tracker'!L75,"Keep","Giữ trong scope","Could-have / Do after core","Có thể có / Làm sau core",'Use Case Tracker'!L75))</f>
        <v>Do after core</v>
      </c>
    </row>
    <row r="59">
      <c r="A59" s="42" t="str">
        <f>IF('Use Case Tracker'!A76="","",'Use Case Tracker'!A76)</f>
        <v>UC75</v>
      </c>
      <c r="B59" s="42" t="str">
        <f>IFERROR(__xludf.DUMMYFUNCTION("IF('Use Case Tracker'!B76="""","""",IFERROR(GOOGLETRANSLATE('Use Case Tracker'!B76,""en"",""vi""),'Use Case Tracker'!B76))"),"Đề xuất nhóm album theo khuôn mặt")</f>
        <v>Đề xuất nhóm album theo khuôn mặt</v>
      </c>
      <c r="C59" s="42" t="str">
        <f>IFERROR(__xludf.DUMMYFUNCTION("IF('Use Case Tracker'!C76="""","""",IFERROR(GOOGLETRANSLATE('Use Case Tracker'!C76,""en"",""vi""),'Use Case Tracker'!C76))"),"Album hỗ trợ / AI")</f>
        <v>Album hỗ trợ / AI</v>
      </c>
      <c r="D59" s="42" t="str">
        <f>IFERROR(__xludf.DUMMYFUNCTION("IF('Use Case Tracker'!D76="""","""",IFERROR(GOOGLETRANSLATE('Use Case Tracker'!D76,""en"",""vi""),'Use Case Tracker'!D76))"),"Album / AI")</f>
        <v>Album / AI</v>
      </c>
      <c r="E59" s="42" t="str">
        <f>IFERROR(__xludf.DUMMYFUNCTION("IF('Use Case Tracker'!E76="""","""",IFERROR(GOOGLETRANSLATE('Use Case Tracker'!E76,""en"",""vi""),'Use Case Tracker'!E76))"),"Hệ thống / Tất cả các thành viên gia đình")</f>
        <v>Hệ thống / Tất cả các thành viên gia đình</v>
      </c>
      <c r="F59" s="42" t="str">
        <f>IFERROR(__xludf.DUMMYFUNCTION("IF('Use Case Tracker'!F76="""","""",IFERROR(GOOGLETRANSLATE('Use Case Tracker'!F76,""en"",""vi""),'Use Case Tracker'!F76))"),"Hệ thống đề xuất nhóm các bức ảnh dựa trên các khuôn mặt tương tự được phát hiện, nhưng người dùng cần xác nhận trước khi gắn thẻ hoặc sắp xếp.")</f>
        <v>Hệ thống đề xuất nhóm các bức ảnh dựa trên các khuôn mặt tương tự được phát hiện, nhưng người dùng cần xác nhận trước khi gắn thẻ hoặc sắp xếp.</v>
      </c>
      <c r="G59" s="42" t="str">
        <f>IF('Use Case Tracker'!G76="","",SWITCH('Use Case Tracker'!G76,"Must-have","Bắt buộc","Should-have","Nên có","Could-have","Có thể có",'Use Case Tracker'!G76))</f>
        <v>Có thể có</v>
      </c>
      <c r="H59" s="42" t="str">
        <f>IF('Use Case Tracker'!H76="","",SWITCH('Use Case Tracker'!H76,"Not Started","Chưa bắt đầu","In Progress","Đang làm","Done","Hoàn thành",'Use Case Tracker'!H76))</f>
        <v>Chưa bắt đầu</v>
      </c>
      <c r="I59" s="42" t="str">
        <f>IF('Use Case Tracker'!I76="","",'Use Case Tracker'!I76)</f>
        <v/>
      </c>
      <c r="J59" s="42" t="str">
        <f>IF('Use Case Tracker'!J76="","",'Use Case Tracker'!J76)</f>
        <v>BR-ALB-02, BR-AI-01</v>
      </c>
      <c r="K59" s="42" t="str">
        <f>IFERROR(__xludf.DUMMYFUNCTION("IF('Use Case Tracker'!K76="""","""",IFERROR(GOOGLETRANSLATE('Use Case Tracker'!K76,""en"",""vi""),'Use Case Tracker'!K76))"),"Phân cụm khuôn mặt là tính năng được cải tiến trong tương lai hoặc chỉ dành cho bản demo, không phải là tính năng cốt lõi của sản phẩm tối thiểu (MVP).")</f>
        <v>Phân cụm khuôn mặt là tính năng được cải tiến trong tương lai hoặc chỉ dành cho bản demo, không phải là tính năng cốt lõi của sản phẩm tối thiểu (MVP).</v>
      </c>
      <c r="L59" s="42" t="str">
        <f>IF('Use Case Tracker'!L76="","",SWITCH('Use Case Tracker'!L76,"Keep","Giữ trong scope","Could-have / Do after core","Có thể có / Làm sau core",'Use Case Tracker'!L76))</f>
        <v>Future / AI Enhancement</v>
      </c>
    </row>
    <row r="60">
      <c r="A60" s="42" t="str">
        <f>IF('Use Case Tracker'!A77="","",'Use Case Tracker'!A77)</f>
        <v>UC76</v>
      </c>
      <c r="B60" s="42" t="str">
        <f>IFERROR(__xludf.DUMMYFUNCTION("IF('Use Case Tracker'!B77="""","""",IFERROR(GOOGLETRANSLATE('Use Case Tracker'!B77,""en"",""vi""),'Use Case Tracker'!B77))"),"Xem thông tin về gói đăng ký và quyền truy cập tính năng hiện tại.")</f>
        <v>Xem thông tin về gói đăng ký và quyền truy cập tính năng hiện tại.</v>
      </c>
      <c r="C60" s="42" t="str">
        <f>IFERROR(__xludf.DUMMYFUNCTION("IF('Use Case Tracker'!C77="""","""",IFERROR(GOOGLETRANSLATE('Use Case Tracker'!C77,""en"",""vi""),'Use Case Tracker'!C77))"),"Đăng ký hỗ trợ")</f>
        <v>Đăng ký hỗ trợ</v>
      </c>
      <c r="D60" s="42" t="str">
        <f>IFERROR(__xludf.DUMMYFUNCTION("IF('Use Case Tracker'!D77="""","""",IFERROR(GOOGLETRANSLATE('Use Case Tracker'!D77,""en"",""vi""),'Use Case Tracker'!D77))"),"Đăng ký")</f>
        <v>Đăng ký</v>
      </c>
      <c r="E60" s="42" t="str">
        <f>IFERROR(__xludf.DUMMYFUNCTION("IF('Use Case Tracker'!E77="""","""",IFERROR(GOOGLETRANSLATE('Use Case Tracker'!E77,""en"",""vi""),'Use Case Tracker'!E77))"),"Quản lý gia đình")</f>
        <v>Quản lý gia đình</v>
      </c>
      <c r="F60" s="42" t="str">
        <f>IFERROR(__xludf.DUMMYFUNCTION("IF('Use Case Tracker'!F77="""","""",IFERROR(GOOGLETRANSLATE('Use Case Tracker'!F77,""en"",""vi""),'Use Case Tracker'!F77))"),"Family Manager hiển thị gói cước hiện tại, trạng thái thanh toán hàng năm, giá hàng năm, ngày bắt đầu, ngày hết hạn, số ngày còn lại, các tính năng đang hoạt động và các chức năng bị khóa/mở khóa.")</f>
        <v>Family Manager hiển thị gói cước hiện tại, trạng thái thanh toán hàng năm, giá hàng năm, ngày bắt đầu, ngày hết hạn, số ngày còn lại, các tính năng đang hoạt động và các chức năng bị khóa/mở khóa.</v>
      </c>
      <c r="G60" s="42" t="str">
        <f>IF('Use Case Tracker'!G77="","",SWITCH('Use Case Tracker'!G77,"Must-have","Bắt buộc","Should-have","Nên có","Could-have","Có thể có",'Use Case Tracker'!G77))</f>
        <v>Bắt buộc</v>
      </c>
      <c r="H60" s="42" t="str">
        <f>IF('Use Case Tracker'!H77="","",SWITCH('Use Case Tracker'!H77,"Not Started","Chưa bắt đầu","In Progress","Đang làm","Done","Hoàn thành",'Use Case Tracker'!H77))</f>
        <v>Chưa bắt đầu</v>
      </c>
      <c r="I60" s="42" t="str">
        <f>IF('Use Case Tracker'!I77="","",'Use Case Tracker'!I77)</f>
        <v/>
      </c>
      <c r="J60" s="42" t="str">
        <f>IF('Use Case Tracker'!J77="","",'Use Case Tracker'!J77)</f>
        <v>BR-SUB-01, BR-SUB-02, BR-SUB-03, BR-SUB-04, BR-SUB-07, BR-SUB-08, BR-SUB-10</v>
      </c>
      <c r="K60" s="42" t="str">
        <f>IFERROR(__xludf.DUMMYFUNCTION("IF('Use Case Tracker'!K77="""","""",IFERROR(GOOGLETRANSLATE('Use Case Tracker'!K77,""en"",""vi""),'Use Case Tracker'!K77))"),"Hiển thị gói hàng năm, ngày hết hạn, số ngày còn lại và quyền truy cập tính năng.")</f>
        <v>Hiển thị gói hàng năm, ngày hết hạn, số ngày còn lại và quyền truy cập tính năng.</v>
      </c>
      <c r="L60" s="42" t="str">
        <f>IF('Use Case Tracker'!L77="","",SWITCH('Use Case Tracker'!L77,"Keep","Giữ trong scope","Could-have / Do after core","Có thể có / Làm sau core",'Use Case Tracker'!L77))</f>
        <v>Giữ trong scope</v>
      </c>
    </row>
    <row r="61">
      <c r="A61" s="42" t="str">
        <f>IF('Use Case Tracker'!A80="","",'Use Case Tracker'!A80)</f>
        <v>UC79</v>
      </c>
      <c r="B61" s="42" t="str">
        <f>IFERROR(__xludf.DUMMYFUNCTION("IF('Use Case Tracker'!B80="""","""",IFERROR(GOOGLETRANSLATE('Use Case Tracker'!B80,""en"",""vi""),'Use Case Tracker'!B80))"),"Bật/Tắt chia sẻ vị trí")</f>
        <v>Bật/Tắt chia sẻ vị trí</v>
      </c>
      <c r="C61" s="42" t="str">
        <f>IFERROR(__xludf.DUMMYFUNCTION("IF('Use Case Tracker'!C80="""","""",IFERROR(GOOGLETRANSLATE('Use Case Tracker'!C80,""en"",""vi""),'Use Case Tracker'!C80))"),"SF4")</f>
        <v>SF4</v>
      </c>
      <c r="D61" s="42" t="str">
        <f>IFERROR(__xludf.DUMMYFUNCTION("IF('Use Case Tracker'!D80="""","""",IFERROR(GOOGLETRANSLATE('Use Case Tracker'!D80,""en"",""vi""),'Use Case Tracker'!D80))"),"Vị trí / An toàn")</f>
        <v>Vị trí / An toàn</v>
      </c>
      <c r="E61" s="42" t="str">
        <f>IFERROR(__xludf.DUMMYFUNCTION("IF('Use Case Tracker'!E80="""","""",IFERROR(GOOGLETRANSLATE('Use Case Tracker'!E80,""en"",""vi""),'Use Case Tracker'!E80))"),"Thành viên gia đình")</f>
        <v>Thành viên gia đình</v>
      </c>
      <c r="F61" s="42" t="str">
        <f>IFERROR(__xludf.DUMMYFUNCTION("IF('Use Case Tracker'!F80="""","""",IFERROR(GOOGLETRANSLATE('Use Case Tracker'!F80,""en"",""vi""),'Use Case Tracker'!F80))"),"Tính năng Thành viên Gia đình cho phép hoặc vô hiệu hóa việc chia sẻ vị trí thông thường để theo dõi gia đình. Tính năng này kiểm soát việc theo dõi vị trí định kỳ ngoài các sự kiện SOS.")</f>
        <v>Tính năng Thành viên Gia đình cho phép hoặc vô hiệu hóa việc chia sẻ vị trí thông thường để theo dõi gia đình. Tính năng này kiểm soát việc theo dõi vị trí định kỳ ngoài các sự kiện SOS.</v>
      </c>
      <c r="G61" s="42" t="str">
        <f>IF('Use Case Tracker'!G80="","",SWITCH('Use Case Tracker'!G80,"Must-have","Bắt buộc","Should-have","Nên có","Could-have","Có thể có",'Use Case Tracker'!G80))</f>
        <v>Nên có</v>
      </c>
      <c r="H61" s="42" t="str">
        <f>IF('Use Case Tracker'!H80="","",SWITCH('Use Case Tracker'!H80,"Not Started","Chưa bắt đầu","In Progress","Đang làm","Done","Hoàn thành",'Use Case Tracker'!H80))</f>
        <v>Chưa bắt đầu</v>
      </c>
      <c r="I61" s="42" t="str">
        <f>IF('Use Case Tracker'!I80="","",'Use Case Tracker'!I80)</f>
        <v/>
      </c>
      <c r="J61" s="42" t="str">
        <f>IF('Use Case Tracker'!J80="","",'Use Case Tracker'!J80)</f>
        <v>BR-LOC-01, BR-LOC-03</v>
      </c>
      <c r="K61" s="42" t="str">
        <f>IFERROR(__xludf.DUMMYFUNCTION("IF('Use Case Tracker'!K80="""","""",IFERROR(GOOGLETRANSLATE('Use Case Tracker'!K80,""en"",""vi""),'Use Case Tracker'!K80))"),"Tính năng theo dõi vị trí thông thường nên dựa trên sự đồng ý/cho phép của người dùng. Hành vi theo dõi vị trí khi có yêu cầu hỗ trợ vẫn được kiểm soát bởi cài đặt SOS.")</f>
        <v>Tính năng theo dõi vị trí thông thường nên dựa trên sự đồng ý/cho phép của người dùng. Hành vi theo dõi vị trí khi có yêu cầu hỗ trợ vẫn được kiểm soát bởi cài đặt SOS.</v>
      </c>
      <c r="L61" s="42" t="str">
        <f>IF('Use Case Tracker'!L80="","",SWITCH('Use Case Tracker'!L80,"Keep","Giữ trong scope","Could-have / Do after core","Có thể có / Làm sau core",'Use Case Tracker'!L80))</f>
        <v>Planned / Prototype</v>
      </c>
    </row>
    <row r="62">
      <c r="A62" s="42" t="str">
        <f>IF('Use Case Tracker'!A81="","",'Use Case Tracker'!A81)</f>
        <v>UC80</v>
      </c>
      <c r="B62" s="42" t="str">
        <f>IFERROR(__xludf.DUMMYFUNCTION("IF('Use Case Tracker'!B81="""","""",IFERROR(GOOGLETRANSLATE('Use Case Tracker'!B81,""en"",""vi""),'Use Case Tracker'!B81))"),"Chia sẻ / Ghi lại vị trí điểm của thành viên")</f>
        <v>Chia sẻ / Ghi lại vị trí điểm của thành viên</v>
      </c>
      <c r="C62" s="42" t="str">
        <f>IFERROR(__xludf.DUMMYFUNCTION("IF('Use Case Tracker'!C81="""","""",IFERROR(GOOGLETRANSLATE('Use Case Tracker'!C81,""en"",""vi""),'Use Case Tracker'!C81))"),"SF4")</f>
        <v>SF4</v>
      </c>
      <c r="D62" s="42" t="str">
        <f>IFERROR(__xludf.DUMMYFUNCTION("IF('Use Case Tracker'!D81="""","""",IFERROR(GOOGLETRANSLATE('Use Case Tracker'!D81,""en"",""vi""),'Use Case Tracker'!D81))"),"Vị trí / An toàn")</f>
        <v>Vị trí / An toàn</v>
      </c>
      <c r="E62" s="42" t="str">
        <f>IFERROR(__xludf.DUMMYFUNCTION("IF('Use Case Tracker'!E81="""","""",IFERROR(GOOGLETRANSLATE('Use Case Tracker'!E81,""en"",""vi""),'Use Case Tracker'!E81))"),"Thành viên gia đình / Ứng dụng di động / Thiết bị đeo được")</f>
        <v>Thành viên gia đình / Ứng dụng di động / Thiết bị đeo được</v>
      </c>
      <c r="F62" s="42" t="str">
        <f>IFERROR(__xludf.DUMMYFUNCTION("IF('Use Case Tracker'!F81="""","""",IFERROR(GOOGLETRANSLATE('Use Case Tracker'!F81,""en"",""vi""),'Use Case Tracker'!F81))"),"Ứng dụng di động hoặc thiết bị đeo tay sẽ gửi vị trí GPS hiện tại của thành viên. Hệ thống lưu trữ vị trí này như một MemberLocationPoint thông thường, tách biệt với việc theo dõi lộ trình SOS.")</f>
        <v>Ứng dụng di động hoặc thiết bị đeo tay sẽ gửi vị trí GPS hiện tại của thành viên. Hệ thống lưu trữ vị trí này như một MemberLocationPoint thông thường, tách biệt với việc theo dõi lộ trình SOS.</v>
      </c>
      <c r="G62" s="42" t="str">
        <f>IF('Use Case Tracker'!G81="","",SWITCH('Use Case Tracker'!G81,"Must-have","Bắt buộc","Should-have","Nên có","Could-have","Có thể có",'Use Case Tracker'!G81))</f>
        <v>Nên có</v>
      </c>
      <c r="H62" s="42" t="str">
        <f>IF('Use Case Tracker'!H81="","",SWITCH('Use Case Tracker'!H81,"Not Started","Chưa bắt đầu","In Progress","Đang làm","Done","Hoàn thành",'Use Case Tracker'!H81))</f>
        <v>Chưa bắt đầu</v>
      </c>
      <c r="I62" s="42" t="str">
        <f>IF('Use Case Tracker'!I81="","",'Use Case Tracker'!I81)</f>
        <v/>
      </c>
      <c r="J62" s="42" t="str">
        <f>IF('Use Case Tracker'!J81="","",'Use Case Tracker'!J81)</f>
        <v>BR-LOC-01, BR-LOC-02, BR-LOC-04</v>
      </c>
      <c r="K62" s="42" t="str">
        <f>IFERROR(__xludf.DUMMYFUNCTION("IF('Use Case Tracker'!K81="""","""",IFERROR(GOOGLETRANSLATE('Use Case Tracker'!K81,""en"",""vi""),'Use Case Tracker'!K81))"),"Thực thể ERD vật lý liên quan: member_location_points. Đây là theo dõi thông thường, không phải sos_location_points.")</f>
        <v>Thực thể ERD vật lý liên quan: member_location_points. Đây là theo dõi thông thường, không phải sos_location_points.</v>
      </c>
      <c r="L62" s="42" t="str">
        <f>IF('Use Case Tracker'!L81="","",SWITCH('Use Case Tracker'!L81,"Keep","Giữ trong scope","Could-have / Do after core","Có thể có / Làm sau core",'Use Case Tracker'!L81))</f>
        <v>Planned / ERD Present</v>
      </c>
    </row>
    <row r="63">
      <c r="A63" s="42" t="str">
        <f>IF('Use Case Tracker'!A82="","",'Use Case Tracker'!A82)</f>
        <v>UC81</v>
      </c>
      <c r="B63" s="42" t="str">
        <f>IFERROR(__xludf.DUMMYFUNCTION("IF('Use Case Tracker'!B82="""","""",IFERROR(GOOGLETRANSLATE('Use Case Tracker'!B82,""en"",""vi""),'Use Case Tracker'!B82))"),"Xem theo dõi vị trí thành viên gia đình")</f>
        <v>Xem theo dõi vị trí thành viên gia đình</v>
      </c>
      <c r="C63" s="42" t="str">
        <f>IFERROR(__xludf.DUMMYFUNCTION("IF('Use Case Tracker'!C82="""","""",IFERROR(GOOGLETRANSLATE('Use Case Tracker'!C82,""en"",""vi""),'Use Case Tracker'!C82))"),"SF4")</f>
        <v>SF4</v>
      </c>
      <c r="D63" s="42" t="str">
        <f>IFERROR(__xludf.DUMMYFUNCTION("IF('Use Case Tracker'!D82="""","""",IFERROR(GOOGLETRANSLATE('Use Case Tracker'!D82,""en"",""vi""),'Use Case Tracker'!D82))"),"Vị trí / An toàn")</f>
        <v>Vị trí / An toàn</v>
      </c>
      <c r="E63" s="42" t="str">
        <f>IFERROR(__xludf.DUMMYFUNCTION("IF('Use Case Tracker'!E82="""","""",IFERROR(GOOGLETRANSLATE('Use Case Tracker'!E82,""en"",""vi""),'Use Case Tracker'!E82))"),"Người quản lý gia đình / Người đại diện / Thành viên gia đình được ủy quyền")</f>
        <v>Người quản lý gia đình / Người đại diện / Thành viên gia đình được ủy quyền</v>
      </c>
      <c r="F63" s="42" t="str">
        <f>IFERROR(__xludf.DUMMYFUNCTION("IF('Use Case Tracker'!F82="""","""",IFERROR(GOOGLETRANSLATE('Use Case Tracker'!F82,""en"",""vi""),'Use Case Tracker'!F82))"),"Các thành viên gia đình được ủy quyền xem vị trí được chia sẻ gần nhất hoặc lịch sử vị trí cơ bản của các thành viên đã bật tính năng chia sẻ vị trí.")</f>
        <v>Các thành viên gia đình được ủy quyền xem vị trí được chia sẻ gần nhất hoặc lịch sử vị trí cơ bản của các thành viên đã bật tính năng chia sẻ vị trí.</v>
      </c>
      <c r="G63" s="42" t="str">
        <f>IF('Use Case Tracker'!G82="","",SWITCH('Use Case Tracker'!G82,"Must-have","Bắt buộc","Should-have","Nên có","Could-have","Có thể có",'Use Case Tracker'!G82))</f>
        <v>Nên có</v>
      </c>
      <c r="H63" s="42" t="str">
        <f>IF('Use Case Tracker'!H82="","",SWITCH('Use Case Tracker'!H82,"Not Started","Chưa bắt đầu","In Progress","Đang làm","Done","Hoàn thành",'Use Case Tracker'!H82))</f>
        <v>Chưa bắt đầu</v>
      </c>
      <c r="I63" s="42" t="str">
        <f>IF('Use Case Tracker'!I82="","",'Use Case Tracker'!I82)</f>
        <v/>
      </c>
      <c r="J63" s="42" t="str">
        <f>IF('Use Case Tracker'!J82="","",'Use Case Tracker'!J82)</f>
        <v>BR-LOC-01, BR-LOC-02, BR-LOC-03</v>
      </c>
      <c r="K63" s="42" t="str">
        <f>IFERROR(__xludf.DUMMYFUNCTION("IF('Use Case Tracker'!K82="""","""",IFERROR(GOOGLETRANSLATE('Use Case Tracker'!K82,""en"",""vi""),'Use Case Tracker'!K82))"),"Tính năng bản đồ gia đình/theo dõi thành viên. Nếu tính năng chia sẻ bị vô hiệu hóa hoặc thiếu quyền, vị trí phải được ẩn đi.")</f>
        <v>Tính năng bản đồ gia đình/theo dõi thành viên. Nếu tính năng chia sẻ bị vô hiệu hóa hoặc thiếu quyền, vị trí phải được ẩn đi.</v>
      </c>
      <c r="L63" s="42" t="str">
        <f>IF('Use Case Tracker'!L82="","",SWITCH('Use Case Tracker'!L82,"Keep","Giữ trong scope","Could-have / Do after core","Có thể có / Làm sau core",'Use Case Tracker'!L82))</f>
        <v>Planned / Prototype</v>
      </c>
    </row>
    <row r="64">
      <c r="A64" s="42" t="str">
        <f>IF('Use Case Tracker'!A83="","",'Use Case Tracker'!A83)</f>
        <v>UC82</v>
      </c>
      <c r="B64" s="42" t="str">
        <f>IFERROR(__xludf.DUMMYFUNCTION("IF('Use Case Tracker'!B83="""","""",IFERROR(GOOGLETRANSLATE('Use Case Tracker'!B83,""en"",""vi""),'Use Case Tracker'!B83))"),"Chọn mô hình tài chính gia đình")</f>
        <v>Chọn mô hình tài chính gia đình</v>
      </c>
      <c r="C64" s="42" t="str">
        <f>IFERROR(__xludf.DUMMYFUNCTION("IF('Use Case Tracker'!C83="""","""",IFERROR(GOOGLETRANSLATE('Use Case Tracker'!C83,""en"",""vi""),'Use Case Tracker'!C83))"),"Luồng 3")</f>
        <v>Luồng 3</v>
      </c>
      <c r="D64" s="42" t="str">
        <f>IFERROR(__xludf.DUMMYFUNCTION("IF('Use Case Tracker'!D83="""","""",IFERROR(GOOGLETRANSLATE('Use Case Tracker'!D83,""en"",""vi""),'Use Case Tracker'!D83))"),"Mô hình Tài chính / Kế hoạch")</f>
        <v>Mô hình Tài chính / Kế hoạch</v>
      </c>
      <c r="E64" s="42" t="str">
        <f>IFERROR(__xludf.DUMMYFUNCTION("IF('Use Case Tracker'!E83="""","""",IFERROR(GOOGLETRANSLATE('Use Case Tracker'!E83,""en"",""vi""),'Use Case Tracker'!E83))"),"Người quản lý gia đình / Thành viên gia đình được ủy quyền thay mặt")</f>
        <v>Người quản lý gia đình / Thành viên gia đình được ủy quyền thay mặt</v>
      </c>
      <c r="F64" s="42" t="str">
        <f>IFERROR(__xludf.DUMMYFUNCTION("IF('Use Case Tracker'!F83="""","""",IFERROR(GOOGLETRANSLATE('Use Case Tracker'!F83,""en"",""vi""),'Use Case Tracker'!F83))"),"Hãy chọn mô hình quản lý tài chính gia đình như 5 hũ, 80/20 hoặc mô hình tùy chỉnh để lập ngân sách và phân bổ chi tiêu.")</f>
        <v>Hãy chọn mô hình quản lý tài chính gia đình như 5 hũ, 80/20 hoặc mô hình tùy chỉnh để lập ngân sách và phân bổ chi tiêu.</v>
      </c>
      <c r="G64" s="42" t="str">
        <f>IF('Use Case Tracker'!G83="","",SWITCH('Use Case Tracker'!G83,"Must-have","Bắt buộc","Should-have","Nên có","Could-have","Có thể có",'Use Case Tracker'!G83))</f>
        <v>Bắt buộc</v>
      </c>
      <c r="H64" s="42" t="str">
        <f>IF('Use Case Tracker'!H83="","",SWITCH('Use Case Tracker'!H83,"Not Started","Chưa bắt đầu","In Progress","Đang làm","Done","Hoàn thành",'Use Case Tracker'!H83))</f>
        <v>Chưa bắt đầu</v>
      </c>
      <c r="I64" s="42" t="str">
        <f>IF('Use Case Tracker'!I83="","",'Use Case Tracker'!I83)</f>
        <v/>
      </c>
      <c r="J64" s="42" t="str">
        <f>IF('Use Case Tracker'!J83="","",'Use Case Tracker'!J83)</f>
        <v>BR-FIN-MODEL-01</v>
      </c>
      <c r="K64" s="42" t="str">
        <f>IFERROR(__xludf.DUMMYFUNCTION("IF('Use Case Tracker'!K83="""","""",IFERROR(GOOGLETRANSLATE('Use Case Tracker'!K83,""en"",""vi""),'Use Case Tracker'!K83))"),"Ghi chú bổ sung từ người hướng dẫn ngày 02/06: Tài chính nên tuân theo một mô hình rõ ràng thay vì chỉ ghi chép các giao dịch.")</f>
        <v>Ghi chú bổ sung từ người hướng dẫn ngày 02/06: Tài chính nên tuân theo một mô hình rõ ràng thay vì chỉ ghi chép các giao dịch.</v>
      </c>
      <c r="L64" s="42" t="str">
        <f>IF('Use Case Tracker'!L83="","",SWITCH('Use Case Tracker'!L83,"Keep","Giữ trong scope","Could-have / Do after core","Có thể có / Làm sau core",'Use Case Tracker'!L83))</f>
        <v>Giữ trong scope</v>
      </c>
    </row>
    <row r="65">
      <c r="A65" s="42" t="str">
        <f>IF('Use Case Tracker'!A84="","",'Use Case Tracker'!A84)</f>
        <v>UC83</v>
      </c>
      <c r="B65" s="42" t="str">
        <f>IFERROR(__xludf.DUMMYFUNCTION("IF('Use Case Tracker'!B84="""","""",IFERROR(GOOGLETRANSLATE('Use Case Tracker'!B84,""en"",""vi""),'Use Case Tracker'!B84))"),"Cấu hình các quỹ/hũ tài chính")</f>
        <v>Cấu hình các quỹ/hũ tài chính</v>
      </c>
      <c r="C65" s="42" t="str">
        <f>IFERROR(__xludf.DUMMYFUNCTION("IF('Use Case Tracker'!C84="""","""",IFERROR(GOOGLETRANSLATE('Use Case Tracker'!C84,""en"",""vi""),'Use Case Tracker'!C84))"),"Luồng 3")</f>
        <v>Luồng 3</v>
      </c>
      <c r="D65" s="42" t="str">
        <f>IFERROR(__xludf.DUMMYFUNCTION("IF('Use Case Tracker'!D84="""","""",IFERROR(GOOGLETRANSLATE('Use Case Tracker'!D84,""en"",""vi""),'Use Case Tracker'!D84))"),"Tài chính / Hũ")</f>
        <v>Tài chính / Hũ</v>
      </c>
      <c r="E65" s="42" t="str">
        <f>IFERROR(__xludf.DUMMYFUNCTION("IF('Use Case Tracker'!E84="""","""",IFERROR(GOOGLETRANSLATE('Use Case Tracker'!E84,""en"",""vi""),'Use Case Tracker'!E84))"),"Người quản lý gia đình / Thành viên gia đình được ủy quyền thay mặt")</f>
        <v>Người quản lý gia đình / Thành viên gia đình được ủy quyền thay mặt</v>
      </c>
      <c r="F65" s="42" t="str">
        <f>IFERROR(__xludf.DUMMYFUNCTION("IF('Use Case Tracker'!F84="""","""",IFERROR(GOOGLETRANSLATE('Use Case Tracker'!F84,""en"",""vi""),'Use Case Tracker'!F84))"),"Thiết lập các quỹ/ngân sách tài chính như chi tiêu thiết yếu, chi tiêu không thiết yếu, quỹ tiết kiệm, giáo dục/phát triển và quỹ dự phòng/khẩn cấp.")</f>
        <v>Thiết lập các quỹ/ngân sách tài chính như chi tiêu thiết yếu, chi tiêu không thiết yếu, quỹ tiết kiệm, giáo dục/phát triển và quỹ dự phòng/khẩn cấp.</v>
      </c>
      <c r="G65" s="42" t="str">
        <f>IF('Use Case Tracker'!G84="","",SWITCH('Use Case Tracker'!G84,"Must-have","Bắt buộc","Should-have","Nên có","Could-have","Có thể có",'Use Case Tracker'!G84))</f>
        <v>Bắt buộc</v>
      </c>
      <c r="H65" s="42" t="str">
        <f>IF('Use Case Tracker'!H84="","",SWITCH('Use Case Tracker'!H84,"Not Started","Chưa bắt đầu","In Progress","Đang làm","Done","Hoàn thành",'Use Case Tracker'!H84))</f>
        <v>Chưa bắt đầu</v>
      </c>
      <c r="I65" s="42" t="str">
        <f>IF('Use Case Tracker'!I84="","",'Use Case Tracker'!I84)</f>
        <v/>
      </c>
      <c r="J65" s="42" t="str">
        <f>IF('Use Case Tracker'!J84="","",'Use Case Tracker'!J84)</f>
        <v>BR-FIN-MODEL-01, BR-FIN-JAR-01</v>
      </c>
      <c r="K65" s="42" t="str">
        <f>IFERROR(__xludf.DUMMYFUNCTION("IF('Use Case Tracker'!K84="""","""",IFERROR(GOOGLETRANSLATE('Use Case Tracker'!K84,""en"",""vi""),'Use Case Tracker'!K84))"),"Các quỹ/tài khoản có thể được thiết lập tỷ lệ phân bổ, ngưỡng, mục đích và quy tắc về người sở hữu/quyền truy cập.")</f>
        <v>Các quỹ/tài khoản có thể được thiết lập tỷ lệ phân bổ, ngưỡng, mục đích và quy tắc về người sở hữu/quyền truy cập.</v>
      </c>
      <c r="L65" s="42" t="str">
        <f>IF('Use Case Tracker'!L84="","",SWITCH('Use Case Tracker'!L84,"Keep","Giữ trong scope","Could-have / Do after core","Có thể có / Làm sau core",'Use Case Tracker'!L84))</f>
        <v>Giữ trong scope</v>
      </c>
    </row>
    <row r="66">
      <c r="A66" s="42" t="str">
        <f>IF('Use Case Tracker'!A85="","",'Use Case Tracker'!A85)</f>
        <v>UC84</v>
      </c>
      <c r="B66" s="42" t="str">
        <f>IFERROR(__xludf.DUMMYFUNCTION("IF('Use Case Tracker'!B85="""","""",IFERROR(GOOGLETRANSLATE('Use Case Tracker'!B85,""en"",""vi""),'Use Case Tracker'!B85))"),"Phân loại thu nhập và chi phí")</f>
        <v>Phân loại thu nhập và chi phí</v>
      </c>
      <c r="C66" s="42" t="str">
        <f>IFERROR(__xludf.DUMMYFUNCTION("IF('Use Case Tracker'!C85="""","""",IFERROR(GOOGLETRANSLATE('Use Case Tracker'!C85,""en"",""vi""),'Use Case Tracker'!C85))"),"Luồng 3")</f>
        <v>Luồng 3</v>
      </c>
      <c r="D66" s="42" t="str">
        <f>IFERROR(__xludf.DUMMYFUNCTION("IF('Use Case Tracker'!D85="""","""",IFERROR(GOOGLETRANSLATE('Use Case Tracker'!D85,""en"",""vi""),'Use Case Tracker'!D85))"),"Tài chính / Danh mục")</f>
        <v>Tài chính / Danh mục</v>
      </c>
      <c r="E66" s="42" t="str">
        <f>IFERROR(__xludf.DUMMYFUNCTION("IF('Use Case Tracker'!E85="""","""",IFERROR(GOOGLETRANSLATE('Use Case Tracker'!E85,""en"",""vi""),'Use Case Tracker'!E85))"),"Người quản lý gia đình / Thành viên gia đình")</f>
        <v>Người quản lý gia đình / Thành viên gia đình</v>
      </c>
      <c r="F66" s="42" t="str">
        <f>IFERROR(__xludf.DUMMYFUNCTION("IF('Use Case Tracker'!F85="""","""",IFERROR(GOOGLETRANSLATE('Use Case Tracker'!F85,""en"",""vi""),'Use Case Tracker'!F85))"),"Phân loại các khoản thu và chi vào các danh mục/ngăn chứa tài chính để phục vụ việc báo cáo và phân tích ngân sách.")</f>
        <v>Phân loại các khoản thu và chi vào các danh mục/ngăn chứa tài chính để phục vụ việc báo cáo và phân tích ngân sách.</v>
      </c>
      <c r="G66" s="42" t="str">
        <f>IF('Use Case Tracker'!G85="","",SWITCH('Use Case Tracker'!G85,"Must-have","Bắt buộc","Should-have","Nên có","Could-have","Có thể có",'Use Case Tracker'!G85))</f>
        <v>Bắt buộc</v>
      </c>
      <c r="H66" s="42" t="str">
        <f>IF('Use Case Tracker'!H85="","",SWITCH('Use Case Tracker'!H85,"Not Started","Chưa bắt đầu","In Progress","Đang làm","Done","Hoàn thành",'Use Case Tracker'!H85))</f>
        <v>Chưa bắt đầu</v>
      </c>
      <c r="I66" s="42" t="str">
        <f>IF('Use Case Tracker'!I85="","",'Use Case Tracker'!I85)</f>
        <v/>
      </c>
      <c r="J66" s="42" t="str">
        <f>IF('Use Case Tracker'!J85="","",'Use Case Tracker'!J85)</f>
        <v>BR-FIN-CAT-01</v>
      </c>
      <c r="K66" s="42" t="str">
        <f>IFERROR(__xludf.DUMMYFUNCTION("IF('Use Case Tracker'!K85="""","""",IFERROR(GOOGLETRANSLATE('Use Case Tracker'!K85,""en"",""vi""),'Use Case Tracker'!K85))"),"Mỗi bản ghi giao dịch cần có một danh mục/thư mục để hỗ trợ cảnh báo và báo cáo.")</f>
        <v>Mỗi bản ghi giao dịch cần có một danh mục/thư mục để hỗ trợ cảnh báo và báo cáo.</v>
      </c>
      <c r="L66" s="42" t="str">
        <f>IF('Use Case Tracker'!L85="","",SWITCH('Use Case Tracker'!L85,"Keep","Giữ trong scope","Could-have / Do after core","Có thể có / Làm sau core",'Use Case Tracker'!L85))</f>
        <v>Giữ trong scope</v>
      </c>
    </row>
    <row r="67">
      <c r="A67" s="42" t="str">
        <f>IF('Use Case Tracker'!A86="","",'Use Case Tracker'!A86)</f>
        <v>UC85</v>
      </c>
      <c r="B67" s="42" t="str">
        <f>IFERROR(__xludf.DUMMYFUNCTION("IF('Use Case Tracker'!B86="""","""",IFERROR(GOOGLETRANSLATE('Use Case Tracker'!B86,""en"",""vi""),'Use Case Tracker'!B86))"),"Đánh dấu khoản chi phí là thiết yếu hoặc không thiết yếu")</f>
        <v>Đánh dấu khoản chi phí là thiết yếu hoặc không thiết yếu</v>
      </c>
      <c r="C67" s="42" t="str">
        <f>IFERROR(__xludf.DUMMYFUNCTION("IF('Use Case Tracker'!C86="""","""",IFERROR(GOOGLETRANSLATE('Use Case Tracker'!C86,""en"",""vi""),'Use Case Tracker'!C86))"),"Luồng 3")</f>
        <v>Luồng 3</v>
      </c>
      <c r="D67" s="42" t="str">
        <f>IFERROR(__xludf.DUMMYFUNCTION("IF('Use Case Tracker'!D86="""","""",IFERROR(GOOGLETRANSLATE('Use Case Tracker'!D86,""en"",""vi""),'Use Case Tracker'!D86))"),"Tài chính / Danh mục")</f>
        <v>Tài chính / Danh mục</v>
      </c>
      <c r="E67" s="42" t="str">
        <f>IFERROR(__xludf.DUMMYFUNCTION("IF('Use Case Tracker'!E86="""","""",IFERROR(GOOGLETRANSLATE('Use Case Tracker'!E86,""en"",""vi""),'Use Case Tracker'!E86))"),"Người quản lý gia đình / Thành viên gia đình")</f>
        <v>Người quản lý gia đình / Thành viên gia đình</v>
      </c>
      <c r="F67" s="42" t="str">
        <f>IFERROR(__xludf.DUMMYFUNCTION("IF('Use Case Tracker'!F86="""","""",IFERROR(GOOGLETRANSLATE('Use Case Tracker'!F86,""en"",""vi""),'Use Case Tracker'!F86))"),"Đánh dấu từng khoản chi tiêu là thiết yếu hoặc không thiết yếu để hỗ trợ việc kiểm soát chi tiêu và đưa ra các gợi ý tiết kiệm.")</f>
        <v>Đánh dấu từng khoản chi tiêu là thiết yếu hoặc không thiết yếu để hỗ trợ việc kiểm soát chi tiêu và đưa ra các gợi ý tiết kiệm.</v>
      </c>
      <c r="G67" s="42" t="str">
        <f>IF('Use Case Tracker'!G86="","",SWITCH('Use Case Tracker'!G86,"Must-have","Bắt buộc","Should-have","Nên có","Could-have","Có thể có",'Use Case Tracker'!G86))</f>
        <v>Bắt buộc</v>
      </c>
      <c r="H67" s="42" t="str">
        <f>IF('Use Case Tracker'!H86="","",SWITCH('Use Case Tracker'!H86,"Not Started","Chưa bắt đầu","In Progress","Đang làm","Done","Hoàn thành",'Use Case Tracker'!H86))</f>
        <v>Chưa bắt đầu</v>
      </c>
      <c r="I67" s="42" t="str">
        <f>IF('Use Case Tracker'!I86="","",'Use Case Tracker'!I86)</f>
        <v/>
      </c>
      <c r="J67" s="42" t="str">
        <f>IF('Use Case Tracker'!J86="","",'Use Case Tracker'!J86)</f>
        <v>BR-FIN-CAT-02</v>
      </c>
      <c r="K67" s="42" t="str">
        <f>IFERROR(__xludf.DUMMYFUNCTION("IF('Use Case Tracker'!K86="""","""",IFERROR(GOOGLETRANSLATE('Use Case Tracker'!K86,""en"",""vi""),'Use Case Tracker'!K86))"),"Ví dụ về các khoản chi thiết yếu: thực phẩm, tiền điện nước, học phí. Ví dụ về các khoản chi không thiết yếu: giải trí, trò chơi, mua sắm tùy chọn.")</f>
        <v>Ví dụ về các khoản chi thiết yếu: thực phẩm, tiền điện nước, học phí. Ví dụ về các khoản chi không thiết yếu: giải trí, trò chơi, mua sắm tùy chọn.</v>
      </c>
      <c r="L67" s="42" t="str">
        <f>IF('Use Case Tracker'!L86="","",SWITCH('Use Case Tracker'!L86,"Keep","Giữ trong scope","Could-have / Do after core","Có thể có / Làm sau core",'Use Case Tracker'!L86))</f>
        <v>Giữ trong scope</v>
      </c>
    </row>
    <row r="68">
      <c r="A68" s="42" t="str">
        <f>IF('Use Case Tracker'!A87="","",'Use Case Tracker'!A87)</f>
        <v>UC86</v>
      </c>
      <c r="B68" s="42" t="str">
        <f>IFERROR(__xludf.DUMMYFUNCTION("IF('Use Case Tracker'!B87="""","""",IFERROR(GOOGLETRANSLATE('Use Case Tracker'!B87,""en"",""vi""),'Use Case Tracker'!B87))"),"Đặt mục tiêu tài chính gia đình")</f>
        <v>Đặt mục tiêu tài chính gia đình</v>
      </c>
      <c r="C68" s="42" t="str">
        <f>IFERROR(__xludf.DUMMYFUNCTION("IF('Use Case Tracker'!C87="""","""",IFERROR(GOOGLETRANSLATE('Use Case Tracker'!C87,""en"",""vi""),'Use Case Tracker'!C87))"),"Luồng 3")</f>
        <v>Luồng 3</v>
      </c>
      <c r="D68" s="42" t="str">
        <f>IFERROR(__xludf.DUMMYFUNCTION("IF('Use Case Tracker'!D87="""","""",IFERROR(GOOGLETRANSLATE('Use Case Tracker'!D87,""en"",""vi""),'Use Case Tracker'!D87))"),"Tài chính / Mục tiêu")</f>
        <v>Tài chính / Mục tiêu</v>
      </c>
      <c r="E68" s="42" t="str">
        <f>IFERROR(__xludf.DUMMYFUNCTION("IF('Use Case Tracker'!E87="""","""",IFERROR(GOOGLETRANSLATE('Use Case Tracker'!E87,""en"",""vi""),'Use Case Tracker'!E87))"),"Người quản lý gia đình / Thành viên gia đình được ủy quyền thay mặt")</f>
        <v>Người quản lý gia đình / Thành viên gia đình được ủy quyền thay mặt</v>
      </c>
      <c r="F68" s="42" t="str">
        <f>IFERROR(__xludf.DUMMYFUNCTION("IF('Use Case Tracker'!F87="""","""",IFERROR(GOOGLETRANSLATE('Use Case Tracker'!F87,""en"",""vi""),'Use Case Tracker'!F87))"),"Hãy lập kế hoạch tài chính gia đình bao gồm số tiền cần đạt được, thời hạn, quỹ tiết kiệm liên quan và kế hoạch đóng góp.")</f>
        <v>Hãy lập kế hoạch tài chính gia đình bao gồm số tiền cần đạt được, thời hạn, quỹ tiết kiệm liên quan và kế hoạch đóng góp.</v>
      </c>
      <c r="G68" s="42" t="str">
        <f>IF('Use Case Tracker'!G87="","",SWITCH('Use Case Tracker'!G87,"Must-have","Bắt buộc","Should-have","Nên có","Could-have","Có thể có",'Use Case Tracker'!G87))</f>
        <v>Bắt buộc</v>
      </c>
      <c r="H68" s="42" t="str">
        <f>IF('Use Case Tracker'!H87="","",SWITCH('Use Case Tracker'!H87,"Not Started","Chưa bắt đầu","In Progress","Đang làm","Done","Hoàn thành",'Use Case Tracker'!H87))</f>
        <v>Chưa bắt đầu</v>
      </c>
      <c r="I68" s="42" t="str">
        <f>IF('Use Case Tracker'!I87="","",'Use Case Tracker'!I87)</f>
        <v/>
      </c>
      <c r="J68" s="42" t="str">
        <f>IF('Use Case Tracker'!J87="","",'Use Case Tracker'!J87)</f>
        <v>BR-FIN-GOAL-01</v>
      </c>
      <c r="K68" s="42" t="str">
        <f>IFERROR(__xludf.DUMMYFUNCTION("IF('Use Case Tracker'!K87="""","""",IFERROR(GOOGLETRANSLATE('Use Case Tracker'!K87,""en"",""vi""),'Use Case Tracker'!K87))"),"Ví dụ: mua một chiếc xe máy trị giá 30 triệu VND trước cuối năm; hệ thống sẽ tính toán mục tiêu đóng góp hàng tháng.")</f>
        <v>Ví dụ: mua một chiếc xe máy trị giá 30 triệu VND trước cuối năm; hệ thống sẽ tính toán mục tiêu đóng góp hàng tháng.</v>
      </c>
      <c r="L68" s="42" t="str">
        <f>IF('Use Case Tracker'!L87="","",SWITCH('Use Case Tracker'!L87,"Keep","Giữ trong scope","Could-have / Do after core","Có thể có / Làm sau core",'Use Case Tracker'!L87))</f>
        <v>Giữ trong scope</v>
      </c>
    </row>
    <row r="69">
      <c r="A69" s="42" t="str">
        <f>IF('Use Case Tracker'!A88="","",'Use Case Tracker'!A88)</f>
        <v>UC87</v>
      </c>
      <c r="B69" s="42" t="str">
        <f>IFERROR(__xludf.DUMMYFUNCTION("IF('Use Case Tracker'!B88="""","""",IFERROR(GOOGLETRANSLATE('Use Case Tracker'!B88,""en"",""vi""),'Use Case Tracker'!B88))"),"Phân bổ tiền vào quỹ mục tiêu")</f>
        <v>Phân bổ tiền vào quỹ mục tiêu</v>
      </c>
      <c r="C69" s="42" t="str">
        <f>IFERROR(__xludf.DUMMYFUNCTION("IF('Use Case Tracker'!C88="""","""",IFERROR(GOOGLETRANSLATE('Use Case Tracker'!C88,""en"",""vi""),'Use Case Tracker'!C88))"),"Luồng 3")</f>
        <v>Luồng 3</v>
      </c>
      <c r="D69" s="42" t="str">
        <f>IFERROR(__xludf.DUMMYFUNCTION("IF('Use Case Tracker'!D88="""","""",IFERROR(GOOGLETRANSLATE('Use Case Tracker'!D88,""en"",""vi""),'Use Case Tracker'!D88))"),"Quỹ Tài chính / Mục tiêu")</f>
        <v>Quỹ Tài chính / Mục tiêu</v>
      </c>
      <c r="E69" s="42" t="str">
        <f>IFERROR(__xludf.DUMMYFUNCTION("IF('Use Case Tracker'!E88="""","""",IFERROR(GOOGLETRANSLATE('Use Case Tracker'!E88,""en"",""vi""),'Use Case Tracker'!E88))"),"Người quản lý gia đình / Thành viên gia đình")</f>
        <v>Người quản lý gia đình / Thành viên gia đình</v>
      </c>
      <c r="F69" s="42" t="str">
        <f>IFERROR(__xludf.DUMMYFUNCTION("IF('Use Case Tracker'!F88="""","""",IFERROR(GOOGLETRANSLATE('Use Case Tracker'!F88,""en"",""vi""),'Use Case Tracker'!F88))"),"Phân bổ một bản ghi thu nhập/đóng góp/trợ cấp vào quỹ mục tiêu tài chính để theo dõi tiến độ.")</f>
        <v>Phân bổ một bản ghi thu nhập/đóng góp/trợ cấp vào quỹ mục tiêu tài chính để theo dõi tiến độ.</v>
      </c>
      <c r="G69" s="42" t="str">
        <f>IF('Use Case Tracker'!G88="","",SWITCH('Use Case Tracker'!G88,"Must-have","Bắt buộc","Should-have","Nên có","Could-have","Có thể có",'Use Case Tracker'!G88))</f>
        <v>Bắt buộc</v>
      </c>
      <c r="H69" s="42" t="str">
        <f>IF('Use Case Tracker'!H88="","",SWITCH('Use Case Tracker'!H88,"Not Started","Chưa bắt đầu","In Progress","Đang làm","Done","Hoàn thành",'Use Case Tracker'!H88))</f>
        <v>Chưa bắt đầu</v>
      </c>
      <c r="I69" s="42" t="str">
        <f>IF('Use Case Tracker'!I88="","",'Use Case Tracker'!I88)</f>
        <v/>
      </c>
      <c r="J69" s="42" t="str">
        <f>IF('Use Case Tracker'!J88="","",'Use Case Tracker'!J88)</f>
        <v>BR-FIN-GOAL-01, BR-FIN-JAR-01</v>
      </c>
      <c r="K69" s="42" t="str">
        <f>IFERROR(__xludf.DUMMYFUNCTION("IF('Use Case Tracker'!K88="""","""",IFERROR(GOOGLETRANSLATE('Use Case Tracker'!K88,""en"",""vi""),'Use Case Tracker'!K88))"),"Đây vẫn chỉ là bản ghi nội bộ; giao dịch tiền thật được thực hiện bên ngoài ứng dụng.")</f>
        <v>Đây vẫn chỉ là bản ghi nội bộ; giao dịch tiền thật được thực hiện bên ngoài ứng dụng.</v>
      </c>
      <c r="L69" s="42" t="str">
        <f>IF('Use Case Tracker'!L88="","",SWITCH('Use Case Tracker'!L88,"Keep","Giữ trong scope","Could-have / Do after core","Có thể có / Làm sau core",'Use Case Tracker'!L88))</f>
        <v>Giữ trong scope</v>
      </c>
    </row>
    <row r="70">
      <c r="A70" s="42" t="str">
        <f>IF('Use Case Tracker'!A89="","",'Use Case Tracker'!A89)</f>
        <v>UC88</v>
      </c>
      <c r="B70" s="42" t="str">
        <f>IFERROR(__xludf.DUMMYFUNCTION("IF('Use Case Tracker'!B89="""","""",IFERROR(GOOGLETRANSLATE('Use Case Tracker'!B89,""en"",""vi""),'Use Case Tracker'!B89))"),"Theo dõi tiến độ đạt mục tiêu tài chính")</f>
        <v>Theo dõi tiến độ đạt mục tiêu tài chính</v>
      </c>
      <c r="C70" s="42" t="str">
        <f>IFERROR(__xludf.DUMMYFUNCTION("IF('Use Case Tracker'!C89="""","""",IFERROR(GOOGLETRANSLATE('Use Case Tracker'!C89,""en"",""vi""),'Use Case Tracker'!C89))"),"Luồng 3")</f>
        <v>Luồng 3</v>
      </c>
      <c r="D70" s="42" t="str">
        <f>IFERROR(__xludf.DUMMYFUNCTION("IF('Use Case Tracker'!D89="""","""",IFERROR(GOOGLETRANSLATE('Use Case Tracker'!D89,""en"",""vi""),'Use Case Tracker'!D89))"),"Tài chính / Mục tiêu")</f>
        <v>Tài chính / Mục tiêu</v>
      </c>
      <c r="E70" s="42" t="str">
        <f>IFERROR(__xludf.DUMMYFUNCTION("IF('Use Case Tracker'!E89="""","""",IFERROR(GOOGLETRANSLATE('Use Case Tracker'!E89,""en"",""vi""),'Use Case Tracker'!E89))"),"Người quản lý gia đình / Thành viên gia đình")</f>
        <v>Người quản lý gia đình / Thành viên gia đình</v>
      </c>
      <c r="F70" s="42" t="str">
        <f>IFERROR(__xludf.DUMMYFUNCTION("IF('Use Case Tracker'!F89="""","""",IFERROR(GOOGLETRANSLATE('Use Case Tracker'!F89,""en"",""vi""),'Use Case Tracker'!F89))"),"Theo dõi tiến độ đạt được các mục tiêu tài chính, số dư tích lũy hiện tại, số tiền còn lại, thời hạn và mục tiêu đóng góp hàng tháng.")</f>
        <v>Theo dõi tiến độ đạt được các mục tiêu tài chính, số dư tích lũy hiện tại, số tiền còn lại, thời hạn và mục tiêu đóng góp hàng tháng.</v>
      </c>
      <c r="G70" s="42" t="str">
        <f>IF('Use Case Tracker'!G89="","",SWITCH('Use Case Tracker'!G89,"Must-have","Bắt buộc","Should-have","Nên có","Could-have","Có thể có",'Use Case Tracker'!G89))</f>
        <v>Bắt buộc</v>
      </c>
      <c r="H70" s="42" t="str">
        <f>IF('Use Case Tracker'!H89="","",SWITCH('Use Case Tracker'!H89,"Not Started","Chưa bắt đầu","In Progress","Đang làm","Done","Hoàn thành",'Use Case Tracker'!H89))</f>
        <v>Chưa bắt đầu</v>
      </c>
      <c r="I70" s="42" t="str">
        <f>IF('Use Case Tracker'!I89="","",'Use Case Tracker'!I89)</f>
        <v/>
      </c>
      <c r="J70" s="42" t="str">
        <f>IF('Use Case Tracker'!J89="","",'Use Case Tracker'!J89)</f>
        <v>BR-FIN-GOAL-01, BR-FIN-ALERT-01</v>
      </c>
      <c r="K70" s="42" t="str">
        <f>IFERROR(__xludf.DUMMYFUNCTION("IF('Use Case Tracker'!K89="""","""",IFERROR(GOOGLETRANSLATE('Use Case Tracker'!K89,""en"",""vi""),'Use Case Tracker'!K89))"),"Tiến độ đạt mục tiêu được tính toán dựa trên hồ sơ nội bộ, không phải số dư tài khoản ngân hàng thực tế.")</f>
        <v>Tiến độ đạt mục tiêu được tính toán dựa trên hồ sơ nội bộ, không phải số dư tài khoản ngân hàng thực tế.</v>
      </c>
      <c r="L70" s="42" t="str">
        <f>IF('Use Case Tracker'!L89="","",SWITCH('Use Case Tracker'!L89,"Keep","Giữ trong scope","Could-have / Do after core","Có thể có / Làm sau core",'Use Case Tracker'!L89))</f>
        <v>Giữ trong scope</v>
      </c>
    </row>
    <row r="71">
      <c r="A71" s="42" t="str">
        <f>IF('Use Case Tracker'!A90="","",'Use Case Tracker'!A90)</f>
        <v>UC89</v>
      </c>
      <c r="B71" s="42" t="str">
        <f>IFERROR(__xludf.DUMMYFUNCTION("IF('Use Case Tracker'!B90="""","""",IFERROR(GOOGLETRANSLATE('Use Case Tracker'!B90,""en"",""vi""),'Use Case Tracker'!B90))"),"Xem cảnh báo rủi ro về ngân sách và mục tiêu")</f>
        <v>Xem cảnh báo rủi ro về ngân sách và mục tiêu</v>
      </c>
      <c r="C71" s="42" t="str">
        <f>IFERROR(__xludf.DUMMYFUNCTION("IF('Use Case Tracker'!C90="""","""",IFERROR(GOOGLETRANSLATE('Use Case Tracker'!C90,""en"",""vi""),'Use Case Tracker'!C90))"),"Luồng 3")</f>
        <v>Luồng 3</v>
      </c>
      <c r="D71" s="42" t="str">
        <f>IFERROR(__xludf.DUMMYFUNCTION("IF('Use Case Tracker'!D90="""","""",IFERROR(GOOGLETRANSLATE('Use Case Tracker'!D90,""en"",""vi""),'Use Case Tracker'!D90))"),"Tài chính / Thông báo")</f>
        <v>Tài chính / Thông báo</v>
      </c>
      <c r="E71" s="42" t="str">
        <f>IFERROR(__xludf.DUMMYFUNCTION("IF('Use Case Tracker'!E90="""","""",IFERROR(GOOGLETRANSLATE('Use Case Tracker'!E90,""en"",""vi""),'Use Case Tracker'!E90))"),"Người quản lý gia đình / Thành viên gia đình được ủy quyền thay mặt")</f>
        <v>Người quản lý gia đình / Thành viên gia đình được ủy quyền thay mặt</v>
      </c>
      <c r="F71" s="42" t="str">
        <f>IFERROR(__xludf.DUMMYFUNCTION("IF('Use Case Tracker'!F90="""","""",IFERROR(GOOGLETRANSLATE('Use Case Tracker'!F90,""en"",""vi""),'Use Case Tracker'!F90))"),"Nhận thông báo khi chi tiêu vượt quá ngưỡng, chi tiêu không cần thiết quá cao hoặc mục tiêu tài chính có nguy cơ bị phá vỡ.")</f>
        <v>Nhận thông báo khi chi tiêu vượt quá ngưỡng, chi tiêu không cần thiết quá cao hoặc mục tiêu tài chính có nguy cơ bị phá vỡ.</v>
      </c>
      <c r="G71" s="42" t="str">
        <f>IF('Use Case Tracker'!G90="","",SWITCH('Use Case Tracker'!G90,"Must-have","Bắt buộc","Should-have","Nên có","Could-have","Có thể có",'Use Case Tracker'!G90))</f>
        <v>Bắt buộc</v>
      </c>
      <c r="H71" s="42" t="str">
        <f>IF('Use Case Tracker'!H90="","",SWITCH('Use Case Tracker'!H90,"Not Started","Chưa bắt đầu","In Progress","Đang làm","Done","Hoàn thành",'Use Case Tracker'!H90))</f>
        <v>Chưa bắt đầu</v>
      </c>
      <c r="I71" s="42" t="str">
        <f>IF('Use Case Tracker'!I90="","",'Use Case Tracker'!I90)</f>
        <v/>
      </c>
      <c r="J71" s="42" t="str">
        <f>IF('Use Case Tracker'!J90="","",'Use Case Tracker'!J90)</f>
        <v>BR-FIN-ALERT-01</v>
      </c>
      <c r="K71" s="42" t="str">
        <f>IFERROR(__xludf.DUMMYFUNCTION("IF('Use Case Tracker'!K90="""","""",IFERROR(GOOGLETRANSLATE('Use Case Tracker'!K90,""en"",""vi""),'Use Case Tracker'!K90))"),"Cập nhật các cảnh báo ngân sách trước đó dựa trên ghi chú của người hướng dẫn ngày 02/06.")</f>
        <v>Cập nhật các cảnh báo ngân sách trước đó dựa trên ghi chú của người hướng dẫn ngày 02/06.</v>
      </c>
      <c r="L71" s="42" t="str">
        <f>IF('Use Case Tracker'!L90="","",SWITCH('Use Case Tracker'!L90,"Keep","Giữ trong scope","Could-have / Do after core","Có thể có / Làm sau core",'Use Case Tracker'!L90))</f>
        <v>Giữ trong scope</v>
      </c>
    </row>
    <row r="72">
      <c r="A72" s="42" t="str">
        <f>IF('Use Case Tracker'!A91="","",'Use Case Tracker'!A91)</f>
        <v>UC90</v>
      </c>
      <c r="B72" s="42" t="str">
        <f>IFERROR(__xludf.DUMMYFUNCTION("IF('Use Case Tracker'!B91="""","""",IFERROR(GOOGLETRANSLATE('Use Case Tracker'!B91,""en"",""vi""),'Use Case Tracker'!B91))"),"Phân bổ phần thưởng nhiệm vụ vào quỹ tiết kiệm/quỹ mục tiêu.")</f>
        <v>Phân bổ phần thưởng nhiệm vụ vào quỹ tiết kiệm/quỹ mục tiêu.</v>
      </c>
      <c r="C72" s="42" t="str">
        <f>IFERROR(__xludf.DUMMYFUNCTION("IF('Use Case Tracker'!C91="""","""",IFERROR(GOOGLETRANSLATE('Use Case Tracker'!C91,""en"",""vi""),'Use Case Tracker'!C91))"),"Luồng 3 / Luồng 4")</f>
        <v>Luồng 3 / Luồng 4</v>
      </c>
      <c r="D72" s="42" t="str">
        <f>IFERROR(__xludf.DUMMYFUNCTION("IF('Use Case Tracker'!D91="""","""",IFERROR(GOOGLETRANSLATE('Use Case Tracker'!D91,""en"",""vi""),'Use Case Tracker'!D91))"),"Thanh toán tài chính/thưởng")</f>
        <v>Thanh toán tài chính/thưởng</v>
      </c>
      <c r="E72" s="42" t="str">
        <f>IFERROR(__xludf.DUMMYFUNCTION("IF('Use Case Tracker'!E91="""","""",IFERROR(GOOGLETRANSLATE('Use Case Tracker'!E91,""en"",""vi""),'Use Case Tracker'!E91))"),"Thành viên gia đình")</f>
        <v>Thành viên gia đình</v>
      </c>
      <c r="F72" s="42" t="str">
        <f>IFERROR(__xludf.DUMMYFUNCTION("IF('Use Case Tracker'!F91="""","""",IFERROR(GOOGLETRANSLATE('Use Case Tracker'!F91,""en"",""vi""),'Use Case Tracker'!F91))"),"Sau khi xác nhận đã nhận được phần thưởng, hãy chuyển bản ghi phần thưởng nhiệm vụ vào quỹ tài chính hoặc quỹ mục tiêu tài chính.")</f>
        <v>Sau khi xác nhận đã nhận được phần thưởng, hãy chuyển bản ghi phần thưởng nhiệm vụ vào quỹ tài chính hoặc quỹ mục tiêu tài chính.</v>
      </c>
      <c r="G72" s="42" t="str">
        <f>IF('Use Case Tracker'!G91="","",SWITCH('Use Case Tracker'!G91,"Must-have","Bắt buộc","Should-have","Nên có","Could-have","Có thể có",'Use Case Tracker'!G91))</f>
        <v>Bắt buộc</v>
      </c>
      <c r="H72" s="42" t="str">
        <f>IF('Use Case Tracker'!H91="","",SWITCH('Use Case Tracker'!H91,"Not Started","Chưa bắt đầu","In Progress","Đang làm","Done","Hoàn thành",'Use Case Tracker'!H91))</f>
        <v>Chưa bắt đầu</v>
      </c>
      <c r="I72" s="42" t="str">
        <f>IF('Use Case Tracker'!I91="","",'Use Case Tracker'!I91)</f>
        <v/>
      </c>
      <c r="J72" s="42" t="str">
        <f>IF('Use Case Tracker'!J91="","",'Use Case Tracker'!J91)</f>
        <v>BR-REW-JAR-01, BR-REW-04</v>
      </c>
      <c r="K72" s="42" t="str">
        <f>IFERROR(__xludf.DUMMYFUNCTION("IF('Use Case Tracker'!K91="""","""",IFERROR(GOOGLETRANSLATE('Use Case Tracker'!K91,""en"",""vi""),'Use Case Tracker'!K91))"),"Ghi chú bổ sung từ người hướng dẫn: phần thưởng nhiệm vụ phải biết nó thuộc về quỹ/ngăn nào.")</f>
        <v>Ghi chú bổ sung từ người hướng dẫn: phần thưởng nhiệm vụ phải biết nó thuộc về quỹ/ngăn nào.</v>
      </c>
      <c r="L72" s="42" t="str">
        <f>IF('Use Case Tracker'!L91="","",SWITCH('Use Case Tracker'!L91,"Keep","Giữ trong scope","Could-have / Do after core","Có thể có / Làm sau core",'Use Case Tracker'!L91))</f>
        <v>Giữ trong scope</v>
      </c>
    </row>
    <row r="73">
      <c r="A73" s="42" t="str">
        <f>IF('Use Case Tracker'!A92="","",'Use Case Tracker'!A92)</f>
        <v>UC91</v>
      </c>
      <c r="B73" s="42" t="str">
        <f>IFERROR(__xludf.DUMMYFUNCTION("IF('Use Case Tracker'!B92="""","""",IFERROR(GOOGLETRANSLATE('Use Case Tracker'!B92,""en"",""vi""),'Use Case Tracker'!B92))"),"Đề xuất danh mục giao dịch bằng AI/OCR")</f>
        <v>Đề xuất danh mục giao dịch bằng AI/OCR</v>
      </c>
      <c r="C73" s="42" t="str">
        <f>IFERROR(__xludf.DUMMYFUNCTION("IF('Use Case Tracker'!C92="""","""",IFERROR(GOOGLETRANSLATE('Use Case Tracker'!C92,""en"",""vi""),'Use Case Tracker'!C92))"),"Hỗ trợ thông tin chi tiết về AI")</f>
        <v>Hỗ trợ thông tin chi tiết về AI</v>
      </c>
      <c r="D73" s="42" t="str">
        <f>IFERROR(__xludf.DUMMYFUNCTION("IF('Use Case Tracker'!D92="""","""",IFERROR(GOOGLETRANSLATE('Use Case Tracker'!D92,""en"",""vi""),'Use Case Tracker'!D92))"),"Trí tuệ nhân tạo / Nhận dạng ký tự quang học / Tài chính")</f>
        <v>Trí tuệ nhân tạo / Nhận dạng ký tự quang học / Tài chính</v>
      </c>
      <c r="E73" s="42" t="str">
        <f>IFERROR(__xludf.DUMMYFUNCTION("IF('Use Case Tracker'!E92="""","""",IFERROR(GOOGLETRANSLATE('Use Case Tracker'!E92,""en"",""vi""),'Use Case Tracker'!E92))"),"Người quản lý gia đình / Thành viên gia đình")</f>
        <v>Người quản lý gia đình / Thành viên gia đình</v>
      </c>
      <c r="F73" s="42" t="str">
        <f>IFERROR(__xludf.DUMMYFUNCTION("IF('Use Case Tracker'!F92="""","""",IFERROR(GOOGLETRANSLATE('Use Case Tracker'!F92,""en"",""vi""),'Use Case Tracker'!F92))"),"Công nghệ AI/OCR đề xuất danh mục giao dịch, loại lọ hoặc phân loại hàng thiết yếu/không thiết yếu từ văn bản hoặc hình ảnh hóa đơn; người dùng xác nhận bản ghi cuối cùng.")</f>
        <v>Công nghệ AI/OCR đề xuất danh mục giao dịch, loại lọ hoặc phân loại hàng thiết yếu/không thiết yếu từ văn bản hoặc hình ảnh hóa đơn; người dùng xác nhận bản ghi cuối cùng.</v>
      </c>
      <c r="G73" s="42" t="str">
        <f>IF('Use Case Tracker'!G92="","",SWITCH('Use Case Tracker'!G92,"Must-have","Bắt buộc","Should-have","Nên có","Could-have","Có thể có",'Use Case Tracker'!G92))</f>
        <v>Có thể có</v>
      </c>
      <c r="H73" s="42" t="str">
        <f>IF('Use Case Tracker'!H92="","",SWITCH('Use Case Tracker'!H92,"Not Started","Chưa bắt đầu","In Progress","Đang làm","Done","Hoàn thành",'Use Case Tracker'!H92))</f>
        <v>Chưa bắt đầu</v>
      </c>
      <c r="I73" s="42" t="str">
        <f>IF('Use Case Tracker'!I92="","",'Use Case Tracker'!I92)</f>
        <v/>
      </c>
      <c r="J73" s="42" t="str">
        <f>IF('Use Case Tracker'!J92="","",'Use Case Tracker'!J92)</f>
        <v>BR-AI-FIN-01</v>
      </c>
      <c r="K73" s="42" t="str">
        <f>IFERROR(__xludf.DUMMYFUNCTION("IF('Use Case Tracker'!K92="""","""",IFERROR(GOOGLETRANSLATE('Use Case Tracker'!K92,""en"",""vi""),'Use Case Tracker'!K92))"),"Hãy giữ OCR/LLM như công nghệ hỗ trợ, chứ không phải là công nghệ bắt buộc đối với sản phẩm tối thiểu khả thi (MVP).")</f>
        <v>Hãy giữ OCR/LLM như công nghệ hỗ trợ, chứ không phải là công nghệ bắt buộc đối với sản phẩm tối thiểu khả thi (MVP).</v>
      </c>
      <c r="L73" s="42" t="str">
        <f>IF('Use Case Tracker'!L92="","",SWITCH('Use Case Tracker'!L92,"Keep","Giữ trong scope","Could-have / Do after core","Có thể có / Làm sau core",'Use Case Tracker'!L92))</f>
        <v>Could-have / Future</v>
      </c>
    </row>
    <row r="74">
      <c r="A74" s="42" t="str">
        <f>IF('Use Case Tracker'!A93="","",'Use Case Tracker'!A93)</f>
        <v/>
      </c>
      <c r="B74" s="42" t="str">
        <f>IFERROR(__xludf.DUMMYFUNCTION("IF('Use Case Tracker'!B93="""","""",IFERROR(GOOGLETRANSLATE('Use Case Tracker'!B93,""en"",""vi""),'Use Case Tracker'!B93))"),"")</f>
        <v/>
      </c>
      <c r="C74" s="42" t="str">
        <f>IFERROR(__xludf.DUMMYFUNCTION("IF('Use Case Tracker'!C93="""","""",IFERROR(GOOGLETRANSLATE('Use Case Tracker'!C93,""en"",""vi""),'Use Case Tracker'!C93))"),"")</f>
        <v/>
      </c>
      <c r="D74" s="42" t="str">
        <f>IFERROR(__xludf.DUMMYFUNCTION("IF('Use Case Tracker'!D93="""","""",IFERROR(GOOGLETRANSLATE('Use Case Tracker'!D93,""en"",""vi""),'Use Case Tracker'!D93))"),"")</f>
        <v/>
      </c>
      <c r="E74" s="42" t="str">
        <f>IFERROR(__xludf.DUMMYFUNCTION("IF('Use Case Tracker'!E93="""","""",IFERROR(GOOGLETRANSLATE('Use Case Tracker'!E93,""en"",""vi""),'Use Case Tracker'!E93))"),"")</f>
        <v/>
      </c>
      <c r="F74" s="42" t="str">
        <f>IFERROR(__xludf.DUMMYFUNCTION("IF('Use Case Tracker'!F93="""","""",IFERROR(GOOGLETRANSLATE('Use Case Tracker'!F93,""en"",""vi""),'Use Case Tracker'!F93))"),"")</f>
        <v/>
      </c>
      <c r="G74" s="42" t="str">
        <f>IF('Use Case Tracker'!G93="","",SWITCH('Use Case Tracker'!G93,"Must-have","Bắt buộc","Should-have","Nên có","Could-have","Có thể có",'Use Case Tracker'!G93))</f>
        <v/>
      </c>
      <c r="H74" s="42" t="str">
        <f>IF('Use Case Tracker'!H93="","",SWITCH('Use Case Tracker'!H93,"Not Started","Chưa bắt đầu","In Progress","Đang làm","Done","Hoàn thành",'Use Case Tracker'!H93))</f>
        <v/>
      </c>
      <c r="I74" s="42" t="str">
        <f>IF('Use Case Tracker'!I93="","",'Use Case Tracker'!I93)</f>
        <v/>
      </c>
      <c r="J74" s="42" t="str">
        <f>IF('Use Case Tracker'!J93="","",'Use Case Tracker'!J93)</f>
        <v/>
      </c>
      <c r="K74" s="42" t="str">
        <f>IFERROR(__xludf.DUMMYFUNCTION("IF('Use Case Tracker'!K93="""","""",IFERROR(GOOGLETRANSLATE('Use Case Tracker'!K93,""en"",""vi""),'Use Case Tracker'!K93))"),"")</f>
        <v/>
      </c>
      <c r="L74" s="42" t="str">
        <f>IF('Use Case Tracker'!L93="","",SWITCH('Use Case Tracker'!L93,"Keep","Giữ trong scope","Could-have / Do after core","Có thể có / Làm sau core",'Use Case Tracker'!L93))</f>
        <v/>
      </c>
    </row>
    <row r="75">
      <c r="A75" s="42" t="str">
        <f>IF('Use Case Tracker'!A94="","",'Use Case Tracker'!A94)</f>
        <v/>
      </c>
      <c r="B75" s="42" t="str">
        <f>IFERROR(__xludf.DUMMYFUNCTION("IF('Use Case Tracker'!B94="""","""",IFERROR(GOOGLETRANSLATE('Use Case Tracker'!B94,""en"",""vi""),'Use Case Tracker'!B94))"),"")</f>
        <v/>
      </c>
      <c r="C75" s="42" t="str">
        <f>IFERROR(__xludf.DUMMYFUNCTION("IF('Use Case Tracker'!C94="""","""",IFERROR(GOOGLETRANSLATE('Use Case Tracker'!C94,""en"",""vi""),'Use Case Tracker'!C94))"),"")</f>
        <v/>
      </c>
      <c r="D75" s="42" t="str">
        <f>IFERROR(__xludf.DUMMYFUNCTION("IF('Use Case Tracker'!D94="""","""",IFERROR(GOOGLETRANSLATE('Use Case Tracker'!D94,""en"",""vi""),'Use Case Tracker'!D94))"),"")</f>
        <v/>
      </c>
      <c r="E75" s="42" t="str">
        <f>IFERROR(__xludf.DUMMYFUNCTION("IF('Use Case Tracker'!E94="""","""",IFERROR(GOOGLETRANSLATE('Use Case Tracker'!E94,""en"",""vi""),'Use Case Tracker'!E94))"),"")</f>
        <v/>
      </c>
      <c r="F75" s="42" t="str">
        <f>IFERROR(__xludf.DUMMYFUNCTION("IF('Use Case Tracker'!F94="""","""",IFERROR(GOOGLETRANSLATE('Use Case Tracker'!F94,""en"",""vi""),'Use Case Tracker'!F94))"),"")</f>
        <v/>
      </c>
      <c r="G75" s="42" t="str">
        <f>IF('Use Case Tracker'!G94="","",SWITCH('Use Case Tracker'!G94,"Must-have","Bắt buộc","Should-have","Nên có","Could-have","Có thể có",'Use Case Tracker'!G94))</f>
        <v/>
      </c>
      <c r="H75" s="42" t="str">
        <f>IF('Use Case Tracker'!H94="","",SWITCH('Use Case Tracker'!H94,"Not Started","Chưa bắt đầu","In Progress","Đang làm","Done","Hoàn thành",'Use Case Tracker'!H94))</f>
        <v/>
      </c>
      <c r="I75" s="42" t="str">
        <f>IF('Use Case Tracker'!I94="","",'Use Case Tracker'!I94)</f>
        <v/>
      </c>
      <c r="J75" s="42" t="str">
        <f>IF('Use Case Tracker'!J94="","",'Use Case Tracker'!J94)</f>
        <v/>
      </c>
      <c r="K75" s="42" t="str">
        <f>IFERROR(__xludf.DUMMYFUNCTION("IF('Use Case Tracker'!K94="""","""",IFERROR(GOOGLETRANSLATE('Use Case Tracker'!K94,""en"",""vi""),'Use Case Tracker'!K94))"),"")</f>
        <v/>
      </c>
      <c r="L75" s="42" t="str">
        <f>IF('Use Case Tracker'!L94="","",SWITCH('Use Case Tracker'!L94,"Keep","Giữ trong scope","Could-have / Do after core","Có thể có / Làm sau core",'Use Case Tracker'!L94))</f>
        <v/>
      </c>
    </row>
    <row r="76">
      <c r="A76" s="42" t="str">
        <f>IF('Use Case Tracker'!A95="","",'Use Case Tracker'!A95)</f>
        <v/>
      </c>
      <c r="B76" s="42" t="str">
        <f>IFERROR(__xludf.DUMMYFUNCTION("IF('Use Case Tracker'!B95="""","""",IFERROR(GOOGLETRANSLATE('Use Case Tracker'!B95,""en"",""vi""),'Use Case Tracker'!B95))"),"")</f>
        <v/>
      </c>
      <c r="C76" s="42" t="str">
        <f>IFERROR(__xludf.DUMMYFUNCTION("IF('Use Case Tracker'!C95="""","""",IFERROR(GOOGLETRANSLATE('Use Case Tracker'!C95,""en"",""vi""),'Use Case Tracker'!C95))"),"")</f>
        <v/>
      </c>
      <c r="D76" s="42" t="str">
        <f>IFERROR(__xludf.DUMMYFUNCTION("IF('Use Case Tracker'!D95="""","""",IFERROR(GOOGLETRANSLATE('Use Case Tracker'!D95,""en"",""vi""),'Use Case Tracker'!D95))"),"")</f>
        <v/>
      </c>
      <c r="E76" s="42" t="str">
        <f>IFERROR(__xludf.DUMMYFUNCTION("IF('Use Case Tracker'!E95="""","""",IFERROR(GOOGLETRANSLATE('Use Case Tracker'!E95,""en"",""vi""),'Use Case Tracker'!E95))"),"")</f>
        <v/>
      </c>
      <c r="F76" s="42" t="str">
        <f>IFERROR(__xludf.DUMMYFUNCTION("IF('Use Case Tracker'!F95="""","""",IFERROR(GOOGLETRANSLATE('Use Case Tracker'!F95,""en"",""vi""),'Use Case Tracker'!F95))"),"")</f>
        <v/>
      </c>
      <c r="G76" s="42" t="str">
        <f>IF('Use Case Tracker'!G95="","",SWITCH('Use Case Tracker'!G95,"Must-have","Bắt buộc","Should-have","Nên có","Could-have","Có thể có",'Use Case Tracker'!G95))</f>
        <v/>
      </c>
      <c r="H76" s="42" t="str">
        <f>IF('Use Case Tracker'!H95="","",SWITCH('Use Case Tracker'!H95,"Not Started","Chưa bắt đầu","In Progress","Đang làm","Done","Hoàn thành",'Use Case Tracker'!H95))</f>
        <v/>
      </c>
      <c r="I76" s="42" t="str">
        <f>IF('Use Case Tracker'!I95="","",'Use Case Tracker'!I95)</f>
        <v/>
      </c>
      <c r="J76" s="42" t="str">
        <f>IF('Use Case Tracker'!J95="","",'Use Case Tracker'!J95)</f>
        <v/>
      </c>
      <c r="K76" s="42" t="str">
        <f>IFERROR(__xludf.DUMMYFUNCTION("IF('Use Case Tracker'!K95="""","""",IFERROR(GOOGLETRANSLATE('Use Case Tracker'!K95,""en"",""vi""),'Use Case Tracker'!K95))"),"")</f>
        <v/>
      </c>
      <c r="L76" s="42" t="str">
        <f>IF('Use Case Tracker'!L95="","",SWITCH('Use Case Tracker'!L95,"Keep","Giữ trong scope","Could-have / Do after core","Có thể có / Làm sau core",'Use Case Tracker'!L95))</f>
        <v/>
      </c>
    </row>
    <row r="77">
      <c r="A77" s="42" t="str">
        <f>IF('Use Case Tracker'!A96="","",'Use Case Tracker'!A96)</f>
        <v/>
      </c>
      <c r="B77" s="42" t="str">
        <f>IFERROR(__xludf.DUMMYFUNCTION("IF('Use Case Tracker'!B96="""","""",IFERROR(GOOGLETRANSLATE('Use Case Tracker'!B96,""en"",""vi""),'Use Case Tracker'!B96))"),"")</f>
        <v/>
      </c>
      <c r="C77" s="42" t="str">
        <f>IFERROR(__xludf.DUMMYFUNCTION("IF('Use Case Tracker'!C96="""","""",IFERROR(GOOGLETRANSLATE('Use Case Tracker'!C96,""en"",""vi""),'Use Case Tracker'!C96))"),"")</f>
        <v/>
      </c>
      <c r="D77" s="42" t="str">
        <f>IFERROR(__xludf.DUMMYFUNCTION("IF('Use Case Tracker'!D96="""","""",IFERROR(GOOGLETRANSLATE('Use Case Tracker'!D96,""en"",""vi""),'Use Case Tracker'!D96))"),"")</f>
        <v/>
      </c>
      <c r="E77" s="42" t="str">
        <f>IFERROR(__xludf.DUMMYFUNCTION("IF('Use Case Tracker'!E96="""","""",IFERROR(GOOGLETRANSLATE('Use Case Tracker'!E96,""en"",""vi""),'Use Case Tracker'!E96))"),"")</f>
        <v/>
      </c>
      <c r="F77" s="42" t="str">
        <f>IFERROR(__xludf.DUMMYFUNCTION("IF('Use Case Tracker'!F96="""","""",IFERROR(GOOGLETRANSLATE('Use Case Tracker'!F96,""en"",""vi""),'Use Case Tracker'!F96))"),"")</f>
        <v/>
      </c>
      <c r="G77" s="42" t="str">
        <f>IF('Use Case Tracker'!G96="","",SWITCH('Use Case Tracker'!G96,"Must-have","Bắt buộc","Should-have","Nên có","Could-have","Có thể có",'Use Case Tracker'!G96))</f>
        <v/>
      </c>
      <c r="H77" s="42" t="str">
        <f>IF('Use Case Tracker'!H96="","",SWITCH('Use Case Tracker'!H96,"Not Started","Chưa bắt đầu","In Progress","Đang làm","Done","Hoàn thành",'Use Case Tracker'!H96))</f>
        <v/>
      </c>
      <c r="I77" s="42" t="str">
        <f>IF('Use Case Tracker'!I96="","",'Use Case Tracker'!I96)</f>
        <v/>
      </c>
      <c r="J77" s="42" t="str">
        <f>IF('Use Case Tracker'!J96="","",'Use Case Tracker'!J96)</f>
        <v/>
      </c>
      <c r="K77" s="42" t="str">
        <f>IFERROR(__xludf.DUMMYFUNCTION("IF('Use Case Tracker'!K96="""","""",IFERROR(GOOGLETRANSLATE('Use Case Tracker'!K96,""en"",""vi""),'Use Case Tracker'!K96))"),"")</f>
        <v/>
      </c>
      <c r="L77" s="42" t="str">
        <f>IF('Use Case Tracker'!L96="","",SWITCH('Use Case Tracker'!L96,"Keep","Giữ trong scope","Could-have / Do after core","Có thể có / Làm sau core",'Use Case Tracker'!L96))</f>
        <v/>
      </c>
    </row>
    <row r="78">
      <c r="A78" s="42" t="str">
        <f>IF('Use Case Tracker'!A97="","",'Use Case Tracker'!A97)</f>
        <v/>
      </c>
      <c r="B78" s="42" t="str">
        <f>IFERROR(__xludf.DUMMYFUNCTION("IF('Use Case Tracker'!B97="""","""",IFERROR(GOOGLETRANSLATE('Use Case Tracker'!B97,""en"",""vi""),'Use Case Tracker'!B97))"),"")</f>
        <v/>
      </c>
      <c r="C78" s="42" t="str">
        <f>IFERROR(__xludf.DUMMYFUNCTION("IF('Use Case Tracker'!C97="""","""",IFERROR(GOOGLETRANSLATE('Use Case Tracker'!C97,""en"",""vi""),'Use Case Tracker'!C97))"),"")</f>
        <v/>
      </c>
      <c r="D78" s="42" t="str">
        <f>IFERROR(__xludf.DUMMYFUNCTION("IF('Use Case Tracker'!D97="""","""",IFERROR(GOOGLETRANSLATE('Use Case Tracker'!D97,""en"",""vi""),'Use Case Tracker'!D97))"),"")</f>
        <v/>
      </c>
      <c r="E78" s="42" t="str">
        <f>IFERROR(__xludf.DUMMYFUNCTION("IF('Use Case Tracker'!E97="""","""",IFERROR(GOOGLETRANSLATE('Use Case Tracker'!E97,""en"",""vi""),'Use Case Tracker'!E97))"),"")</f>
        <v/>
      </c>
      <c r="F78" s="42" t="str">
        <f>IFERROR(__xludf.DUMMYFUNCTION("IF('Use Case Tracker'!F97="""","""",IFERROR(GOOGLETRANSLATE('Use Case Tracker'!F97,""en"",""vi""),'Use Case Tracker'!F97))"),"")</f>
        <v/>
      </c>
      <c r="G78" s="42" t="str">
        <f>IF('Use Case Tracker'!G97="","",SWITCH('Use Case Tracker'!G97,"Must-have","Bắt buộc","Should-have","Nên có","Could-have","Có thể có",'Use Case Tracker'!G97))</f>
        <v/>
      </c>
      <c r="H78" s="42" t="str">
        <f>IF('Use Case Tracker'!H97="","",SWITCH('Use Case Tracker'!H97,"Not Started","Chưa bắt đầu","In Progress","Đang làm","Done","Hoàn thành",'Use Case Tracker'!H97))</f>
        <v/>
      </c>
      <c r="I78" s="42" t="str">
        <f>IF('Use Case Tracker'!I97="","",'Use Case Tracker'!I97)</f>
        <v/>
      </c>
      <c r="J78" s="42" t="str">
        <f>IF('Use Case Tracker'!J97="","",'Use Case Tracker'!J97)</f>
        <v/>
      </c>
      <c r="K78" s="42" t="str">
        <f>IFERROR(__xludf.DUMMYFUNCTION("IF('Use Case Tracker'!K97="""","""",IFERROR(GOOGLETRANSLATE('Use Case Tracker'!K97,""en"",""vi""),'Use Case Tracker'!K97))"),"")</f>
        <v/>
      </c>
      <c r="L78" s="42" t="str">
        <f>IF('Use Case Tracker'!L97="","",SWITCH('Use Case Tracker'!L97,"Keep","Giữ trong scope","Could-have / Do after core","Có thể có / Làm sau core",'Use Case Tracker'!L97))</f>
        <v/>
      </c>
    </row>
    <row r="79">
      <c r="A79" s="42" t="str">
        <f>IF('Use Case Tracker'!A98="","",'Use Case Tracker'!A98)</f>
        <v/>
      </c>
      <c r="B79" s="42" t="str">
        <f>IFERROR(__xludf.DUMMYFUNCTION("IF('Use Case Tracker'!B98="""","""",IFERROR(GOOGLETRANSLATE('Use Case Tracker'!B98,""en"",""vi""),'Use Case Tracker'!B98))"),"")</f>
        <v/>
      </c>
      <c r="C79" s="42" t="str">
        <f>IFERROR(__xludf.DUMMYFUNCTION("IF('Use Case Tracker'!C98="""","""",IFERROR(GOOGLETRANSLATE('Use Case Tracker'!C98,""en"",""vi""),'Use Case Tracker'!C98))"),"")</f>
        <v/>
      </c>
      <c r="D79" s="42" t="str">
        <f>IFERROR(__xludf.DUMMYFUNCTION("IF('Use Case Tracker'!D98="""","""",IFERROR(GOOGLETRANSLATE('Use Case Tracker'!D98,""en"",""vi""),'Use Case Tracker'!D98))"),"")</f>
        <v/>
      </c>
      <c r="E79" s="42" t="str">
        <f>IFERROR(__xludf.DUMMYFUNCTION("IF('Use Case Tracker'!E98="""","""",IFERROR(GOOGLETRANSLATE('Use Case Tracker'!E98,""en"",""vi""),'Use Case Tracker'!E98))"),"")</f>
        <v/>
      </c>
      <c r="F79" s="42" t="str">
        <f>IFERROR(__xludf.DUMMYFUNCTION("IF('Use Case Tracker'!F98="""","""",IFERROR(GOOGLETRANSLATE('Use Case Tracker'!F98,""en"",""vi""),'Use Case Tracker'!F98))"),"")</f>
        <v/>
      </c>
      <c r="G79" s="42" t="str">
        <f>IF('Use Case Tracker'!G98="","",SWITCH('Use Case Tracker'!G98,"Must-have","Bắt buộc","Should-have","Nên có","Could-have","Có thể có",'Use Case Tracker'!G98))</f>
        <v/>
      </c>
      <c r="H79" s="42" t="str">
        <f>IF('Use Case Tracker'!H98="","",SWITCH('Use Case Tracker'!H98,"Not Started","Chưa bắt đầu","In Progress","Đang làm","Done","Hoàn thành",'Use Case Tracker'!H98))</f>
        <v/>
      </c>
      <c r="I79" s="42" t="str">
        <f>IF('Use Case Tracker'!I98="","",'Use Case Tracker'!I98)</f>
        <v/>
      </c>
      <c r="J79" s="42" t="str">
        <f>IF('Use Case Tracker'!J98="","",'Use Case Tracker'!J98)</f>
        <v/>
      </c>
      <c r="K79" s="42" t="str">
        <f>IFERROR(__xludf.DUMMYFUNCTION("IF('Use Case Tracker'!K98="""","""",IFERROR(GOOGLETRANSLATE('Use Case Tracker'!K98,""en"",""vi""),'Use Case Tracker'!K98))"),"")</f>
        <v/>
      </c>
      <c r="L79" s="42" t="str">
        <f>IF('Use Case Tracker'!L98="","",SWITCH('Use Case Tracker'!L98,"Keep","Giữ trong scope","Could-have / Do after core","Có thể có / Làm sau core",'Use Case Tracker'!L98))</f>
        <v/>
      </c>
    </row>
    <row r="80">
      <c r="A80" s="42" t="str">
        <f>IF('Use Case Tracker'!A99="","",'Use Case Tracker'!A99)</f>
        <v/>
      </c>
      <c r="B80" s="42" t="str">
        <f>IFERROR(__xludf.DUMMYFUNCTION("IF('Use Case Tracker'!B99="""","""",IFERROR(GOOGLETRANSLATE('Use Case Tracker'!B99,""en"",""vi""),'Use Case Tracker'!B99))"),"")</f>
        <v/>
      </c>
      <c r="C80" s="42" t="str">
        <f>IFERROR(__xludf.DUMMYFUNCTION("IF('Use Case Tracker'!C99="""","""",IFERROR(GOOGLETRANSLATE('Use Case Tracker'!C99,""en"",""vi""),'Use Case Tracker'!C99))"),"")</f>
        <v/>
      </c>
      <c r="D80" s="42" t="str">
        <f>IFERROR(__xludf.DUMMYFUNCTION("IF('Use Case Tracker'!D99="""","""",IFERROR(GOOGLETRANSLATE('Use Case Tracker'!D99,""en"",""vi""),'Use Case Tracker'!D99))"),"")</f>
        <v/>
      </c>
      <c r="E80" s="42" t="str">
        <f>IFERROR(__xludf.DUMMYFUNCTION("IF('Use Case Tracker'!E99="""","""",IFERROR(GOOGLETRANSLATE('Use Case Tracker'!E99,""en"",""vi""),'Use Case Tracker'!E99))"),"")</f>
        <v/>
      </c>
      <c r="F80" s="42" t="str">
        <f>IFERROR(__xludf.DUMMYFUNCTION("IF('Use Case Tracker'!F99="""","""",IFERROR(GOOGLETRANSLATE('Use Case Tracker'!F99,""en"",""vi""),'Use Case Tracker'!F99))"),"")</f>
        <v/>
      </c>
      <c r="G80" s="42" t="str">
        <f>IF('Use Case Tracker'!G99="","",SWITCH('Use Case Tracker'!G99,"Must-have","Bắt buộc","Should-have","Nên có","Could-have","Có thể có",'Use Case Tracker'!G99))</f>
        <v/>
      </c>
      <c r="H80" s="42" t="str">
        <f>IF('Use Case Tracker'!H99="","",SWITCH('Use Case Tracker'!H99,"Not Started","Chưa bắt đầu","In Progress","Đang làm","Done","Hoàn thành",'Use Case Tracker'!H99))</f>
        <v/>
      </c>
      <c r="I80" s="42" t="str">
        <f>IF('Use Case Tracker'!I99="","",'Use Case Tracker'!I99)</f>
        <v/>
      </c>
      <c r="J80" s="42" t="str">
        <f>IF('Use Case Tracker'!J99="","",'Use Case Tracker'!J99)</f>
        <v/>
      </c>
      <c r="K80" s="42" t="str">
        <f>IFERROR(__xludf.DUMMYFUNCTION("IF('Use Case Tracker'!K99="""","""",IFERROR(GOOGLETRANSLATE('Use Case Tracker'!K99,""en"",""vi""),'Use Case Tracker'!K99))"),"")</f>
        <v/>
      </c>
      <c r="L80" s="42" t="str">
        <f>IF('Use Case Tracker'!L99="","",SWITCH('Use Case Tracker'!L99,"Keep","Giữ trong scope","Could-have / Do after core","Có thể có / Làm sau core",'Use Case Tracker'!L99))</f>
        <v/>
      </c>
    </row>
    <row r="81">
      <c r="A81" s="42" t="str">
        <f>IF('Use Case Tracker'!A100="","",'Use Case Tracker'!A100)</f>
        <v/>
      </c>
      <c r="B81" s="42" t="str">
        <f>IFERROR(__xludf.DUMMYFUNCTION("IF('Use Case Tracker'!B100="""","""",IFERROR(GOOGLETRANSLATE('Use Case Tracker'!B100,""en"",""vi""),'Use Case Tracker'!B100))"),"")</f>
        <v/>
      </c>
      <c r="C81" s="42" t="str">
        <f>IFERROR(__xludf.DUMMYFUNCTION("IF('Use Case Tracker'!C100="""","""",IFERROR(GOOGLETRANSLATE('Use Case Tracker'!C100,""en"",""vi""),'Use Case Tracker'!C100))"),"")</f>
        <v/>
      </c>
      <c r="D81" s="42" t="str">
        <f>IFERROR(__xludf.DUMMYFUNCTION("IF('Use Case Tracker'!D100="""","""",IFERROR(GOOGLETRANSLATE('Use Case Tracker'!D100,""en"",""vi""),'Use Case Tracker'!D100))"),"")</f>
        <v/>
      </c>
      <c r="E81" s="42" t="str">
        <f>IFERROR(__xludf.DUMMYFUNCTION("IF('Use Case Tracker'!E100="""","""",IFERROR(GOOGLETRANSLATE('Use Case Tracker'!E100,""en"",""vi""),'Use Case Tracker'!E100))"),"")</f>
        <v/>
      </c>
      <c r="F81" s="42" t="str">
        <f>IFERROR(__xludf.DUMMYFUNCTION("IF('Use Case Tracker'!F100="""","""",IFERROR(GOOGLETRANSLATE('Use Case Tracker'!F100,""en"",""vi""),'Use Case Tracker'!F100))"),"")</f>
        <v/>
      </c>
      <c r="G81" s="42" t="str">
        <f>IF('Use Case Tracker'!G100="","",SWITCH('Use Case Tracker'!G100,"Must-have","Bắt buộc","Should-have","Nên có","Could-have","Có thể có",'Use Case Tracker'!G100))</f>
        <v/>
      </c>
      <c r="H81" s="42" t="str">
        <f>IF('Use Case Tracker'!H100="","",SWITCH('Use Case Tracker'!H100,"Not Started","Chưa bắt đầu","In Progress","Đang làm","Done","Hoàn thành",'Use Case Tracker'!H100))</f>
        <v/>
      </c>
      <c r="I81" s="42" t="str">
        <f>IF('Use Case Tracker'!I100="","",'Use Case Tracker'!I100)</f>
        <v/>
      </c>
      <c r="J81" s="42" t="str">
        <f>IF('Use Case Tracker'!J100="","",'Use Case Tracker'!J100)</f>
        <v/>
      </c>
      <c r="K81" s="42" t="str">
        <f>IFERROR(__xludf.DUMMYFUNCTION("IF('Use Case Tracker'!K100="""","""",IFERROR(GOOGLETRANSLATE('Use Case Tracker'!K100,""en"",""vi""),'Use Case Tracker'!K100))"),"")</f>
        <v/>
      </c>
      <c r="L81" s="42" t="str">
        <f>IF('Use Case Tracker'!L100="","",SWITCH('Use Case Tracker'!L100,"Keep","Giữ trong scope","Could-have / Do after core","Có thể có / Làm sau core",'Use Case Tracker'!L100))</f>
        <v/>
      </c>
    </row>
    <row r="82">
      <c r="A82" s="42" t="str">
        <f>IF('Use Case Tracker'!A101="","",'Use Case Tracker'!A101)</f>
        <v/>
      </c>
      <c r="B82" s="42" t="str">
        <f>IFERROR(__xludf.DUMMYFUNCTION("IF('Use Case Tracker'!B101="""","""",IFERROR(GOOGLETRANSLATE('Use Case Tracker'!B101,""en"",""vi""),'Use Case Tracker'!B101))"),"")</f>
        <v/>
      </c>
      <c r="C82" s="42" t="str">
        <f>IFERROR(__xludf.DUMMYFUNCTION("IF('Use Case Tracker'!C101="""","""",IFERROR(GOOGLETRANSLATE('Use Case Tracker'!C101,""en"",""vi""),'Use Case Tracker'!C101))"),"")</f>
        <v/>
      </c>
      <c r="D82" s="42" t="str">
        <f>IFERROR(__xludf.DUMMYFUNCTION("IF('Use Case Tracker'!D101="""","""",IFERROR(GOOGLETRANSLATE('Use Case Tracker'!D101,""en"",""vi""),'Use Case Tracker'!D101))"),"")</f>
        <v/>
      </c>
      <c r="E82" s="42" t="str">
        <f>IFERROR(__xludf.DUMMYFUNCTION("IF('Use Case Tracker'!E101="""","""",IFERROR(GOOGLETRANSLATE('Use Case Tracker'!E101,""en"",""vi""),'Use Case Tracker'!E101))"),"")</f>
        <v/>
      </c>
      <c r="F82" s="42" t="str">
        <f>IFERROR(__xludf.DUMMYFUNCTION("IF('Use Case Tracker'!F101="""","""",IFERROR(GOOGLETRANSLATE('Use Case Tracker'!F101,""en"",""vi""),'Use Case Tracker'!F101))"),"")</f>
        <v/>
      </c>
      <c r="G82" s="42" t="str">
        <f>IF('Use Case Tracker'!G101="","",SWITCH('Use Case Tracker'!G101,"Must-have","Bắt buộc","Should-have","Nên có","Could-have","Có thể có",'Use Case Tracker'!G101))</f>
        <v/>
      </c>
      <c r="H82" s="42" t="str">
        <f>IF('Use Case Tracker'!H101="","",SWITCH('Use Case Tracker'!H101,"Not Started","Chưa bắt đầu","In Progress","Đang làm","Done","Hoàn thành",'Use Case Tracker'!H101))</f>
        <v/>
      </c>
      <c r="I82" s="42" t="str">
        <f>IF('Use Case Tracker'!I101="","",'Use Case Tracker'!I101)</f>
        <v/>
      </c>
      <c r="J82" s="42" t="str">
        <f>IF('Use Case Tracker'!J101="","",'Use Case Tracker'!J101)</f>
        <v/>
      </c>
      <c r="K82" s="42" t="str">
        <f>IFERROR(__xludf.DUMMYFUNCTION("IF('Use Case Tracker'!K101="""","""",IFERROR(GOOGLETRANSLATE('Use Case Tracker'!K101,""en"",""vi""),'Use Case Tracker'!K101))"),"")</f>
        <v/>
      </c>
      <c r="L82" s="42" t="str">
        <f>IF('Use Case Tracker'!L101="","",SWITCH('Use Case Tracker'!L101,"Keep","Giữ trong scope","Could-have / Do after core","Có thể có / Làm sau core",'Use Case Tracker'!L101))</f>
        <v/>
      </c>
    </row>
    <row r="83">
      <c r="A83" s="42" t="str">
        <f>IF('Use Case Tracker'!A102="","",'Use Case Tracker'!A102)</f>
        <v/>
      </c>
      <c r="B83" s="42" t="str">
        <f>IFERROR(__xludf.DUMMYFUNCTION("IF('Use Case Tracker'!B102="""","""",IFERROR(GOOGLETRANSLATE('Use Case Tracker'!B102,""en"",""vi""),'Use Case Tracker'!B102))"),"")</f>
        <v/>
      </c>
      <c r="C83" s="42" t="str">
        <f>IFERROR(__xludf.DUMMYFUNCTION("IF('Use Case Tracker'!C102="""","""",IFERROR(GOOGLETRANSLATE('Use Case Tracker'!C102,""en"",""vi""),'Use Case Tracker'!C102))"),"")</f>
        <v/>
      </c>
      <c r="D83" s="42" t="str">
        <f>IFERROR(__xludf.DUMMYFUNCTION("IF('Use Case Tracker'!D102="""","""",IFERROR(GOOGLETRANSLATE('Use Case Tracker'!D102,""en"",""vi""),'Use Case Tracker'!D102))"),"")</f>
        <v/>
      </c>
      <c r="E83" s="42" t="str">
        <f>IFERROR(__xludf.DUMMYFUNCTION("IF('Use Case Tracker'!E102="""","""",IFERROR(GOOGLETRANSLATE('Use Case Tracker'!E102,""en"",""vi""),'Use Case Tracker'!E102))"),"")</f>
        <v/>
      </c>
      <c r="F83" s="42" t="str">
        <f>IFERROR(__xludf.DUMMYFUNCTION("IF('Use Case Tracker'!F102="""","""",IFERROR(GOOGLETRANSLATE('Use Case Tracker'!F102,""en"",""vi""),'Use Case Tracker'!F102))"),"")</f>
        <v/>
      </c>
      <c r="G83" s="42" t="str">
        <f>IF('Use Case Tracker'!G102="","",SWITCH('Use Case Tracker'!G102,"Must-have","Bắt buộc","Should-have","Nên có","Could-have","Có thể có",'Use Case Tracker'!G102))</f>
        <v/>
      </c>
      <c r="H83" s="42" t="str">
        <f>IF('Use Case Tracker'!H102="","",SWITCH('Use Case Tracker'!H102,"Not Started","Chưa bắt đầu","In Progress","Đang làm","Done","Hoàn thành",'Use Case Tracker'!H102))</f>
        <v/>
      </c>
      <c r="I83" s="42" t="str">
        <f>IF('Use Case Tracker'!I102="","",'Use Case Tracker'!I102)</f>
        <v/>
      </c>
      <c r="J83" s="42" t="str">
        <f>IF('Use Case Tracker'!J102="","",'Use Case Tracker'!J102)</f>
        <v/>
      </c>
      <c r="K83" s="42" t="str">
        <f>IFERROR(__xludf.DUMMYFUNCTION("IF('Use Case Tracker'!K102="""","""",IFERROR(GOOGLETRANSLATE('Use Case Tracker'!K102,""en"",""vi""),'Use Case Tracker'!K102))"),"")</f>
        <v/>
      </c>
      <c r="L83" s="42" t="str">
        <f>IF('Use Case Tracker'!L102="","",SWITCH('Use Case Tracker'!L102,"Keep","Giữ trong scope","Could-have / Do after core","Có thể có / Làm sau core",'Use Case Tracker'!L102))</f>
        <v/>
      </c>
    </row>
    <row r="84">
      <c r="A84" s="42" t="str">
        <f>IF('Use Case Tracker'!A103="","",'Use Case Tracker'!A103)</f>
        <v/>
      </c>
      <c r="B84" s="42" t="str">
        <f>IFERROR(__xludf.DUMMYFUNCTION("IF('Use Case Tracker'!B103="""","""",IFERROR(GOOGLETRANSLATE('Use Case Tracker'!B103,""en"",""vi""),'Use Case Tracker'!B103))"),"")</f>
        <v/>
      </c>
      <c r="C84" s="42" t="str">
        <f>IFERROR(__xludf.DUMMYFUNCTION("IF('Use Case Tracker'!C103="""","""",IFERROR(GOOGLETRANSLATE('Use Case Tracker'!C103,""en"",""vi""),'Use Case Tracker'!C103))"),"")</f>
        <v/>
      </c>
      <c r="D84" s="42" t="str">
        <f>IFERROR(__xludf.DUMMYFUNCTION("IF('Use Case Tracker'!D103="""","""",IFERROR(GOOGLETRANSLATE('Use Case Tracker'!D103,""en"",""vi""),'Use Case Tracker'!D103))"),"")</f>
        <v/>
      </c>
      <c r="E84" s="42" t="str">
        <f>IFERROR(__xludf.DUMMYFUNCTION("IF('Use Case Tracker'!E103="""","""",IFERROR(GOOGLETRANSLATE('Use Case Tracker'!E103,""en"",""vi""),'Use Case Tracker'!E103))"),"")</f>
        <v/>
      </c>
      <c r="F84" s="42" t="str">
        <f>IFERROR(__xludf.DUMMYFUNCTION("IF('Use Case Tracker'!F103="""","""",IFERROR(GOOGLETRANSLATE('Use Case Tracker'!F103,""en"",""vi""),'Use Case Tracker'!F103))"),"")</f>
        <v/>
      </c>
      <c r="G84" s="42" t="str">
        <f>IF('Use Case Tracker'!G103="","",SWITCH('Use Case Tracker'!G103,"Must-have","Bắt buộc","Should-have","Nên có","Could-have","Có thể có",'Use Case Tracker'!G103))</f>
        <v/>
      </c>
      <c r="H84" s="42" t="str">
        <f>IF('Use Case Tracker'!H103="","",SWITCH('Use Case Tracker'!H103,"Not Started","Chưa bắt đầu","In Progress","Đang làm","Done","Hoàn thành",'Use Case Tracker'!H103))</f>
        <v/>
      </c>
      <c r="I84" s="42" t="str">
        <f>IF('Use Case Tracker'!I103="","",'Use Case Tracker'!I103)</f>
        <v/>
      </c>
      <c r="J84" s="42" t="str">
        <f>IF('Use Case Tracker'!J103="","",'Use Case Tracker'!J103)</f>
        <v/>
      </c>
      <c r="K84" s="42" t="str">
        <f>IFERROR(__xludf.DUMMYFUNCTION("IF('Use Case Tracker'!K103="""","""",IFERROR(GOOGLETRANSLATE('Use Case Tracker'!K103,""en"",""vi""),'Use Case Tracker'!K103))"),"")</f>
        <v/>
      </c>
      <c r="L84" s="42" t="str">
        <f>IF('Use Case Tracker'!L103="","",SWITCH('Use Case Tracker'!L103,"Keep","Giữ trong scope","Could-have / Do after core","Có thể có / Làm sau core",'Use Case Tracker'!L103))</f>
        <v/>
      </c>
    </row>
    <row r="85">
      <c r="A85" s="42" t="str">
        <f>IF('Use Case Tracker'!A104="","",'Use Case Tracker'!A104)</f>
        <v/>
      </c>
      <c r="B85" s="42" t="str">
        <f>IFERROR(__xludf.DUMMYFUNCTION("IF('Use Case Tracker'!B104="""","""",IFERROR(GOOGLETRANSLATE('Use Case Tracker'!B104,""en"",""vi""),'Use Case Tracker'!B104))"),"")</f>
        <v/>
      </c>
      <c r="C85" s="42" t="str">
        <f>IFERROR(__xludf.DUMMYFUNCTION("IF('Use Case Tracker'!C104="""","""",IFERROR(GOOGLETRANSLATE('Use Case Tracker'!C104,""en"",""vi""),'Use Case Tracker'!C104))"),"")</f>
        <v/>
      </c>
      <c r="D85" s="42" t="str">
        <f>IFERROR(__xludf.DUMMYFUNCTION("IF('Use Case Tracker'!D104="""","""",IFERROR(GOOGLETRANSLATE('Use Case Tracker'!D104,""en"",""vi""),'Use Case Tracker'!D104))"),"")</f>
        <v/>
      </c>
      <c r="E85" s="42" t="str">
        <f>IFERROR(__xludf.DUMMYFUNCTION("IF('Use Case Tracker'!E104="""","""",IFERROR(GOOGLETRANSLATE('Use Case Tracker'!E104,""en"",""vi""),'Use Case Tracker'!E104))"),"")</f>
        <v/>
      </c>
      <c r="F85" s="42" t="str">
        <f>IFERROR(__xludf.DUMMYFUNCTION("IF('Use Case Tracker'!F104="""","""",IFERROR(GOOGLETRANSLATE('Use Case Tracker'!F104,""en"",""vi""),'Use Case Tracker'!F104))"),"")</f>
        <v/>
      </c>
      <c r="G85" s="42" t="str">
        <f>IF('Use Case Tracker'!G104="","",SWITCH('Use Case Tracker'!G104,"Must-have","Bắt buộc","Should-have","Nên có","Could-have","Có thể có",'Use Case Tracker'!G104))</f>
        <v/>
      </c>
      <c r="H85" s="42" t="str">
        <f>IF('Use Case Tracker'!H104="","",SWITCH('Use Case Tracker'!H104,"Not Started","Chưa bắt đầu","In Progress","Đang làm","Done","Hoàn thành",'Use Case Tracker'!H104))</f>
        <v/>
      </c>
      <c r="I85" s="42" t="str">
        <f>IF('Use Case Tracker'!I104="","",'Use Case Tracker'!I104)</f>
        <v/>
      </c>
      <c r="J85" s="42" t="str">
        <f>IF('Use Case Tracker'!J104="","",'Use Case Tracker'!J104)</f>
        <v/>
      </c>
      <c r="K85" s="42" t="str">
        <f>IFERROR(__xludf.DUMMYFUNCTION("IF('Use Case Tracker'!K104="""","""",IFERROR(GOOGLETRANSLATE('Use Case Tracker'!K104,""en"",""vi""),'Use Case Tracker'!K104))"),"")</f>
        <v/>
      </c>
      <c r="L85" s="42" t="str">
        <f>IF('Use Case Tracker'!L104="","",SWITCH('Use Case Tracker'!L104,"Keep","Giữ trong scope","Could-have / Do after core","Có thể có / Làm sau core",'Use Case Tracker'!L104))</f>
        <v/>
      </c>
    </row>
    <row r="86">
      <c r="A86" s="42" t="str">
        <f>IF('Use Case Tracker'!A105="","",'Use Case Tracker'!A105)</f>
        <v/>
      </c>
      <c r="B86" s="42" t="str">
        <f>IFERROR(__xludf.DUMMYFUNCTION("IF('Use Case Tracker'!B105="""","""",IFERROR(GOOGLETRANSLATE('Use Case Tracker'!B105,""en"",""vi""),'Use Case Tracker'!B105))"),"")</f>
        <v/>
      </c>
      <c r="C86" s="42" t="str">
        <f>IFERROR(__xludf.DUMMYFUNCTION("IF('Use Case Tracker'!C105="""","""",IFERROR(GOOGLETRANSLATE('Use Case Tracker'!C105,""en"",""vi""),'Use Case Tracker'!C105))"),"")</f>
        <v/>
      </c>
      <c r="D86" s="42" t="str">
        <f>IFERROR(__xludf.DUMMYFUNCTION("IF('Use Case Tracker'!D105="""","""",IFERROR(GOOGLETRANSLATE('Use Case Tracker'!D105,""en"",""vi""),'Use Case Tracker'!D105))"),"")</f>
        <v/>
      </c>
      <c r="E86" s="42" t="str">
        <f>IFERROR(__xludf.DUMMYFUNCTION("IF('Use Case Tracker'!E105="""","""",IFERROR(GOOGLETRANSLATE('Use Case Tracker'!E105,""en"",""vi""),'Use Case Tracker'!E105))"),"")</f>
        <v/>
      </c>
      <c r="F86" s="42" t="str">
        <f>IFERROR(__xludf.DUMMYFUNCTION("IF('Use Case Tracker'!F105="""","""",IFERROR(GOOGLETRANSLATE('Use Case Tracker'!F105,""en"",""vi""),'Use Case Tracker'!F105))"),"")</f>
        <v/>
      </c>
      <c r="G86" s="42" t="str">
        <f>IF('Use Case Tracker'!G105="","",SWITCH('Use Case Tracker'!G105,"Must-have","Bắt buộc","Should-have","Nên có","Could-have","Có thể có",'Use Case Tracker'!G105))</f>
        <v/>
      </c>
      <c r="H86" s="42" t="str">
        <f>IF('Use Case Tracker'!H105="","",SWITCH('Use Case Tracker'!H105,"Not Started","Chưa bắt đầu","In Progress","Đang làm","Done","Hoàn thành",'Use Case Tracker'!H105))</f>
        <v/>
      </c>
      <c r="I86" s="42" t="str">
        <f>IF('Use Case Tracker'!I105="","",'Use Case Tracker'!I105)</f>
        <v/>
      </c>
      <c r="J86" s="42" t="str">
        <f>IF('Use Case Tracker'!J105="","",'Use Case Tracker'!J105)</f>
        <v/>
      </c>
      <c r="K86" s="42" t="str">
        <f>IFERROR(__xludf.DUMMYFUNCTION("IF('Use Case Tracker'!K105="""","""",IFERROR(GOOGLETRANSLATE('Use Case Tracker'!K105,""en"",""vi""),'Use Case Tracker'!K105))"),"")</f>
        <v/>
      </c>
      <c r="L86" s="42" t="str">
        <f>IF('Use Case Tracker'!L105="","",SWITCH('Use Case Tracker'!L105,"Keep","Giữ trong scope","Could-have / Do after core","Có thể có / Làm sau core",'Use Case Tracker'!L105))</f>
        <v/>
      </c>
    </row>
    <row r="87">
      <c r="A87" s="42" t="str">
        <f>IF('Use Case Tracker'!A106="","",'Use Case Tracker'!A106)</f>
        <v/>
      </c>
      <c r="B87" s="42" t="str">
        <f>IFERROR(__xludf.DUMMYFUNCTION("IF('Use Case Tracker'!B106="""","""",IFERROR(GOOGLETRANSLATE('Use Case Tracker'!B106,""en"",""vi""),'Use Case Tracker'!B106))"),"")</f>
        <v/>
      </c>
      <c r="C87" s="42" t="str">
        <f>IFERROR(__xludf.DUMMYFUNCTION("IF('Use Case Tracker'!C106="""","""",IFERROR(GOOGLETRANSLATE('Use Case Tracker'!C106,""en"",""vi""),'Use Case Tracker'!C106))"),"")</f>
        <v/>
      </c>
      <c r="D87" s="42" t="str">
        <f>IFERROR(__xludf.DUMMYFUNCTION("IF('Use Case Tracker'!D106="""","""",IFERROR(GOOGLETRANSLATE('Use Case Tracker'!D106,""en"",""vi""),'Use Case Tracker'!D106))"),"")</f>
        <v/>
      </c>
      <c r="E87" s="42" t="str">
        <f>IFERROR(__xludf.DUMMYFUNCTION("IF('Use Case Tracker'!E106="""","""",IFERROR(GOOGLETRANSLATE('Use Case Tracker'!E106,""en"",""vi""),'Use Case Tracker'!E106))"),"")</f>
        <v/>
      </c>
      <c r="F87" s="42" t="str">
        <f>IFERROR(__xludf.DUMMYFUNCTION("IF('Use Case Tracker'!F106="""","""",IFERROR(GOOGLETRANSLATE('Use Case Tracker'!F106,""en"",""vi""),'Use Case Tracker'!F106))"),"")</f>
        <v/>
      </c>
      <c r="G87" s="42" t="str">
        <f>IF('Use Case Tracker'!G106="","",SWITCH('Use Case Tracker'!G106,"Must-have","Bắt buộc","Should-have","Nên có","Could-have","Có thể có",'Use Case Tracker'!G106))</f>
        <v/>
      </c>
      <c r="H87" s="42" t="str">
        <f>IF('Use Case Tracker'!H106="","",SWITCH('Use Case Tracker'!H106,"Not Started","Chưa bắt đầu","In Progress","Đang làm","Done","Hoàn thành",'Use Case Tracker'!H106))</f>
        <v/>
      </c>
      <c r="I87" s="42" t="str">
        <f>IF('Use Case Tracker'!I106="","",'Use Case Tracker'!I106)</f>
        <v/>
      </c>
      <c r="J87" s="42" t="str">
        <f>IF('Use Case Tracker'!J106="","",'Use Case Tracker'!J106)</f>
        <v/>
      </c>
      <c r="K87" s="42" t="str">
        <f>IFERROR(__xludf.DUMMYFUNCTION("IF('Use Case Tracker'!K106="""","""",IFERROR(GOOGLETRANSLATE('Use Case Tracker'!K106,""en"",""vi""),'Use Case Tracker'!K106))"),"")</f>
        <v/>
      </c>
      <c r="L87" s="42" t="str">
        <f>IF('Use Case Tracker'!L106="","",SWITCH('Use Case Tracker'!L106,"Keep","Giữ trong scope","Could-have / Do after core","Có thể có / Làm sau core",'Use Case Tracker'!L106))</f>
        <v/>
      </c>
    </row>
    <row r="88">
      <c r="A88" s="42" t="str">
        <f>IF('Use Case Tracker'!A107="","",'Use Case Tracker'!A107)</f>
        <v/>
      </c>
      <c r="B88" s="42" t="str">
        <f>IFERROR(__xludf.DUMMYFUNCTION("IF('Use Case Tracker'!B107="""","""",IFERROR(GOOGLETRANSLATE('Use Case Tracker'!B107,""en"",""vi""),'Use Case Tracker'!B107))"),"")</f>
        <v/>
      </c>
      <c r="C88" s="42" t="str">
        <f>IFERROR(__xludf.DUMMYFUNCTION("IF('Use Case Tracker'!C107="""","""",IFERROR(GOOGLETRANSLATE('Use Case Tracker'!C107,""en"",""vi""),'Use Case Tracker'!C107))"),"")</f>
        <v/>
      </c>
      <c r="D88" s="42" t="str">
        <f>IFERROR(__xludf.DUMMYFUNCTION("IF('Use Case Tracker'!D107="""","""",IFERROR(GOOGLETRANSLATE('Use Case Tracker'!D107,""en"",""vi""),'Use Case Tracker'!D107))"),"")</f>
        <v/>
      </c>
      <c r="E88" s="42" t="str">
        <f>IFERROR(__xludf.DUMMYFUNCTION("IF('Use Case Tracker'!E107="""","""",IFERROR(GOOGLETRANSLATE('Use Case Tracker'!E107,""en"",""vi""),'Use Case Tracker'!E107))"),"")</f>
        <v/>
      </c>
      <c r="F88" s="42" t="str">
        <f>IFERROR(__xludf.DUMMYFUNCTION("IF('Use Case Tracker'!F107="""","""",IFERROR(GOOGLETRANSLATE('Use Case Tracker'!F107,""en"",""vi""),'Use Case Tracker'!F107))"),"")</f>
        <v/>
      </c>
      <c r="G88" s="42" t="str">
        <f>IF('Use Case Tracker'!G107="","",SWITCH('Use Case Tracker'!G107,"Must-have","Bắt buộc","Should-have","Nên có","Could-have","Có thể có",'Use Case Tracker'!G107))</f>
        <v/>
      </c>
      <c r="H88" s="42" t="str">
        <f>IF('Use Case Tracker'!H107="","",SWITCH('Use Case Tracker'!H107,"Not Started","Chưa bắt đầu","In Progress","Đang làm","Done","Hoàn thành",'Use Case Tracker'!H107))</f>
        <v/>
      </c>
      <c r="I88" s="42" t="str">
        <f>IF('Use Case Tracker'!I107="","",'Use Case Tracker'!I107)</f>
        <v/>
      </c>
      <c r="J88" s="42" t="str">
        <f>IF('Use Case Tracker'!J107="","",'Use Case Tracker'!J107)</f>
        <v/>
      </c>
      <c r="K88" s="42" t="str">
        <f>IFERROR(__xludf.DUMMYFUNCTION("IF('Use Case Tracker'!K107="""","""",IFERROR(GOOGLETRANSLATE('Use Case Tracker'!K107,""en"",""vi""),'Use Case Tracker'!K107))"),"")</f>
        <v/>
      </c>
      <c r="L88" s="42" t="str">
        <f>IF('Use Case Tracker'!L107="","",SWITCH('Use Case Tracker'!L107,"Keep","Giữ trong scope","Could-have / Do after core","Có thể có / Làm sau core",'Use Case Tracker'!L107))</f>
        <v/>
      </c>
    </row>
    <row r="89">
      <c r="A89" s="42" t="str">
        <f>IF('Use Case Tracker'!A108="","",'Use Case Tracker'!A108)</f>
        <v/>
      </c>
      <c r="B89" s="42" t="str">
        <f>IFERROR(__xludf.DUMMYFUNCTION("IF('Use Case Tracker'!B108="""","""",IFERROR(GOOGLETRANSLATE('Use Case Tracker'!B108,""en"",""vi""),'Use Case Tracker'!B108))"),"")</f>
        <v/>
      </c>
      <c r="C89" s="42" t="str">
        <f>IFERROR(__xludf.DUMMYFUNCTION("IF('Use Case Tracker'!C108="""","""",IFERROR(GOOGLETRANSLATE('Use Case Tracker'!C108,""en"",""vi""),'Use Case Tracker'!C108))"),"")</f>
        <v/>
      </c>
      <c r="D89" s="42" t="str">
        <f>IFERROR(__xludf.DUMMYFUNCTION("IF('Use Case Tracker'!D108="""","""",IFERROR(GOOGLETRANSLATE('Use Case Tracker'!D108,""en"",""vi""),'Use Case Tracker'!D108))"),"")</f>
        <v/>
      </c>
      <c r="E89" s="42" t="str">
        <f>IFERROR(__xludf.DUMMYFUNCTION("IF('Use Case Tracker'!E108="""","""",IFERROR(GOOGLETRANSLATE('Use Case Tracker'!E108,""en"",""vi""),'Use Case Tracker'!E108))"),"")</f>
        <v/>
      </c>
      <c r="F89" s="42" t="str">
        <f>IFERROR(__xludf.DUMMYFUNCTION("IF('Use Case Tracker'!F108="""","""",IFERROR(GOOGLETRANSLATE('Use Case Tracker'!F108,""en"",""vi""),'Use Case Tracker'!F108))"),"")</f>
        <v/>
      </c>
      <c r="G89" s="42" t="str">
        <f>IF('Use Case Tracker'!G108="","",SWITCH('Use Case Tracker'!G108,"Must-have","Bắt buộc","Should-have","Nên có","Could-have","Có thể có",'Use Case Tracker'!G108))</f>
        <v/>
      </c>
      <c r="H89" s="42" t="str">
        <f>IF('Use Case Tracker'!H108="","",SWITCH('Use Case Tracker'!H108,"Not Started","Chưa bắt đầu","In Progress","Đang làm","Done","Hoàn thành",'Use Case Tracker'!H108))</f>
        <v/>
      </c>
      <c r="I89" s="42" t="str">
        <f>IF('Use Case Tracker'!I108="","",'Use Case Tracker'!I108)</f>
        <v/>
      </c>
      <c r="J89" s="42" t="str">
        <f>IF('Use Case Tracker'!J108="","",'Use Case Tracker'!J108)</f>
        <v/>
      </c>
      <c r="K89" s="42" t="str">
        <f>IFERROR(__xludf.DUMMYFUNCTION("IF('Use Case Tracker'!K108="""","""",IFERROR(GOOGLETRANSLATE('Use Case Tracker'!K108,""en"",""vi""),'Use Case Tracker'!K108))"),"")</f>
        <v/>
      </c>
      <c r="L89" s="42" t="str">
        <f>IF('Use Case Tracker'!L108="","",SWITCH('Use Case Tracker'!L108,"Keep","Giữ trong scope","Could-have / Do after core","Có thể có / Làm sau core",'Use Case Tracker'!L108))</f>
        <v/>
      </c>
    </row>
    <row r="90">
      <c r="A90" s="42" t="str">
        <f>IF('Use Case Tracker'!A109="","",'Use Case Tracker'!A109)</f>
        <v/>
      </c>
      <c r="B90" s="42" t="str">
        <f>IFERROR(__xludf.DUMMYFUNCTION("IF('Use Case Tracker'!B109="""","""",IFERROR(GOOGLETRANSLATE('Use Case Tracker'!B109,""en"",""vi""),'Use Case Tracker'!B109))"),"")</f>
        <v/>
      </c>
      <c r="C90" s="42" t="str">
        <f>IFERROR(__xludf.DUMMYFUNCTION("IF('Use Case Tracker'!C109="""","""",IFERROR(GOOGLETRANSLATE('Use Case Tracker'!C109,""en"",""vi""),'Use Case Tracker'!C109))"),"")</f>
        <v/>
      </c>
      <c r="D90" s="42" t="str">
        <f>IFERROR(__xludf.DUMMYFUNCTION("IF('Use Case Tracker'!D109="""","""",IFERROR(GOOGLETRANSLATE('Use Case Tracker'!D109,""en"",""vi""),'Use Case Tracker'!D109))"),"")</f>
        <v/>
      </c>
      <c r="E90" s="42" t="str">
        <f>IFERROR(__xludf.DUMMYFUNCTION("IF('Use Case Tracker'!E109="""","""",IFERROR(GOOGLETRANSLATE('Use Case Tracker'!E109,""en"",""vi""),'Use Case Tracker'!E109))"),"")</f>
        <v/>
      </c>
      <c r="F90" s="42" t="str">
        <f>IFERROR(__xludf.DUMMYFUNCTION("IF('Use Case Tracker'!F109="""","""",IFERROR(GOOGLETRANSLATE('Use Case Tracker'!F109,""en"",""vi""),'Use Case Tracker'!F109))"),"")</f>
        <v/>
      </c>
      <c r="G90" s="42" t="str">
        <f>IF('Use Case Tracker'!G109="","",SWITCH('Use Case Tracker'!G109,"Must-have","Bắt buộc","Should-have","Nên có","Could-have","Có thể có",'Use Case Tracker'!G109))</f>
        <v/>
      </c>
      <c r="H90" s="42" t="str">
        <f>IF('Use Case Tracker'!H109="","",SWITCH('Use Case Tracker'!H109,"Not Started","Chưa bắt đầu","In Progress","Đang làm","Done","Hoàn thành",'Use Case Tracker'!H109))</f>
        <v/>
      </c>
      <c r="I90" s="42" t="str">
        <f>IF('Use Case Tracker'!I109="","",'Use Case Tracker'!I109)</f>
        <v/>
      </c>
      <c r="J90" s="42" t="str">
        <f>IF('Use Case Tracker'!J109="","",'Use Case Tracker'!J109)</f>
        <v/>
      </c>
      <c r="K90" s="42" t="str">
        <f>IFERROR(__xludf.DUMMYFUNCTION("IF('Use Case Tracker'!K109="""","""",IFERROR(GOOGLETRANSLATE('Use Case Tracker'!K109,""en"",""vi""),'Use Case Tracker'!K109))"),"")</f>
        <v/>
      </c>
      <c r="L90" s="42" t="str">
        <f>IF('Use Case Tracker'!L109="","",SWITCH('Use Case Tracker'!L109,"Keep","Giữ trong scope","Could-have / Do after core","Có thể có / Làm sau core",'Use Case Tracker'!L109))</f>
        <v/>
      </c>
    </row>
    <row r="91">
      <c r="A91" s="42" t="str">
        <f>IF('Use Case Tracker'!A110="","",'Use Case Tracker'!A110)</f>
        <v/>
      </c>
      <c r="B91" s="42" t="str">
        <f>IFERROR(__xludf.DUMMYFUNCTION("IF('Use Case Tracker'!B110="""","""",IFERROR(GOOGLETRANSLATE('Use Case Tracker'!B110,""en"",""vi""),'Use Case Tracker'!B110))"),"")</f>
        <v/>
      </c>
      <c r="C91" s="42" t="str">
        <f>IFERROR(__xludf.DUMMYFUNCTION("IF('Use Case Tracker'!C110="""","""",IFERROR(GOOGLETRANSLATE('Use Case Tracker'!C110,""en"",""vi""),'Use Case Tracker'!C110))"),"")</f>
        <v/>
      </c>
      <c r="D91" s="42" t="str">
        <f>IFERROR(__xludf.DUMMYFUNCTION("IF('Use Case Tracker'!D110="""","""",IFERROR(GOOGLETRANSLATE('Use Case Tracker'!D110,""en"",""vi""),'Use Case Tracker'!D110))"),"")</f>
        <v/>
      </c>
      <c r="E91" s="42" t="str">
        <f>IFERROR(__xludf.DUMMYFUNCTION("IF('Use Case Tracker'!E110="""","""",IFERROR(GOOGLETRANSLATE('Use Case Tracker'!E110,""en"",""vi""),'Use Case Tracker'!E110))"),"")</f>
        <v/>
      </c>
      <c r="F91" s="42" t="str">
        <f>IFERROR(__xludf.DUMMYFUNCTION("IF('Use Case Tracker'!F110="""","""",IFERROR(GOOGLETRANSLATE('Use Case Tracker'!F110,""en"",""vi""),'Use Case Tracker'!F110))"),"")</f>
        <v/>
      </c>
      <c r="G91" s="42" t="str">
        <f>IF('Use Case Tracker'!G110="","",SWITCH('Use Case Tracker'!G110,"Must-have","Bắt buộc","Should-have","Nên có","Could-have","Có thể có",'Use Case Tracker'!G110))</f>
        <v/>
      </c>
      <c r="H91" s="42" t="str">
        <f>IF('Use Case Tracker'!H110="","",SWITCH('Use Case Tracker'!H110,"Not Started","Chưa bắt đầu","In Progress","Đang làm","Done","Hoàn thành",'Use Case Tracker'!H110))</f>
        <v/>
      </c>
      <c r="I91" s="42" t="str">
        <f>IF('Use Case Tracker'!I110="","",'Use Case Tracker'!I110)</f>
        <v/>
      </c>
      <c r="J91" s="42" t="str">
        <f>IF('Use Case Tracker'!J110="","",'Use Case Tracker'!J110)</f>
        <v/>
      </c>
      <c r="K91" s="42" t="str">
        <f>IFERROR(__xludf.DUMMYFUNCTION("IF('Use Case Tracker'!K110="""","""",IFERROR(GOOGLETRANSLATE('Use Case Tracker'!K110,""en"",""vi""),'Use Case Tracker'!K110))"),"")</f>
        <v/>
      </c>
      <c r="L91" s="42" t="str">
        <f>IF('Use Case Tracker'!L110="","",SWITCH('Use Case Tracker'!L110,"Keep","Giữ trong scope","Could-have / Do after core","Có thể có / Làm sau core",'Use Case Tracker'!L110))</f>
        <v/>
      </c>
    </row>
    <row r="92">
      <c r="A92" s="42" t="str">
        <f>IF('Use Case Tracker'!A111="","",'Use Case Tracker'!A111)</f>
        <v/>
      </c>
      <c r="B92" s="42" t="str">
        <f>IFERROR(__xludf.DUMMYFUNCTION("IF('Use Case Tracker'!B111="""","""",IFERROR(GOOGLETRANSLATE('Use Case Tracker'!B111,""en"",""vi""),'Use Case Tracker'!B111))"),"")</f>
        <v/>
      </c>
      <c r="C92" s="42" t="str">
        <f>IFERROR(__xludf.DUMMYFUNCTION("IF('Use Case Tracker'!C111="""","""",IFERROR(GOOGLETRANSLATE('Use Case Tracker'!C111,""en"",""vi""),'Use Case Tracker'!C111))"),"")</f>
        <v/>
      </c>
      <c r="D92" s="42" t="str">
        <f>IFERROR(__xludf.DUMMYFUNCTION("IF('Use Case Tracker'!D111="""","""",IFERROR(GOOGLETRANSLATE('Use Case Tracker'!D111,""en"",""vi""),'Use Case Tracker'!D111))"),"")</f>
        <v/>
      </c>
      <c r="E92" s="42" t="str">
        <f>IFERROR(__xludf.DUMMYFUNCTION("IF('Use Case Tracker'!E111="""","""",IFERROR(GOOGLETRANSLATE('Use Case Tracker'!E111,""en"",""vi""),'Use Case Tracker'!E111))"),"")</f>
        <v/>
      </c>
      <c r="F92" s="42" t="str">
        <f>IFERROR(__xludf.DUMMYFUNCTION("IF('Use Case Tracker'!F111="""","""",IFERROR(GOOGLETRANSLATE('Use Case Tracker'!F111,""en"",""vi""),'Use Case Tracker'!F111))"),"")</f>
        <v/>
      </c>
      <c r="G92" s="42" t="str">
        <f>IF('Use Case Tracker'!G111="","",SWITCH('Use Case Tracker'!G111,"Must-have","Bắt buộc","Should-have","Nên có","Could-have","Có thể có",'Use Case Tracker'!G111))</f>
        <v/>
      </c>
      <c r="H92" s="42" t="str">
        <f>IF('Use Case Tracker'!H111="","",SWITCH('Use Case Tracker'!H111,"Not Started","Chưa bắt đầu","In Progress","Đang làm","Done","Hoàn thành",'Use Case Tracker'!H111))</f>
        <v/>
      </c>
      <c r="I92" s="42" t="str">
        <f>IF('Use Case Tracker'!I111="","",'Use Case Tracker'!I111)</f>
        <v/>
      </c>
      <c r="J92" s="42" t="str">
        <f>IF('Use Case Tracker'!J111="","",'Use Case Tracker'!J111)</f>
        <v/>
      </c>
      <c r="K92" s="42" t="str">
        <f>IFERROR(__xludf.DUMMYFUNCTION("IF('Use Case Tracker'!K111="""","""",IFERROR(GOOGLETRANSLATE('Use Case Tracker'!K111,""en"",""vi""),'Use Case Tracker'!K111))"),"")</f>
        <v/>
      </c>
      <c r="L92" s="42" t="str">
        <f>IF('Use Case Tracker'!L111="","",SWITCH('Use Case Tracker'!L111,"Keep","Giữ trong scope","Could-have / Do after core","Có thể có / Làm sau core",'Use Case Tracker'!L111))</f>
        <v/>
      </c>
    </row>
    <row r="93">
      <c r="A93" s="42" t="str">
        <f>IF('Use Case Tracker'!A112="","",'Use Case Tracker'!A112)</f>
        <v/>
      </c>
      <c r="B93" s="42" t="str">
        <f>IFERROR(__xludf.DUMMYFUNCTION("IF('Use Case Tracker'!B112="""","""",IFERROR(GOOGLETRANSLATE('Use Case Tracker'!B112,""en"",""vi""),'Use Case Tracker'!B112))"),"")</f>
        <v/>
      </c>
      <c r="C93" s="42" t="str">
        <f>IFERROR(__xludf.DUMMYFUNCTION("IF('Use Case Tracker'!C112="""","""",IFERROR(GOOGLETRANSLATE('Use Case Tracker'!C112,""en"",""vi""),'Use Case Tracker'!C112))"),"")</f>
        <v/>
      </c>
      <c r="D93" s="42" t="str">
        <f>IFERROR(__xludf.DUMMYFUNCTION("IF('Use Case Tracker'!D112="""","""",IFERROR(GOOGLETRANSLATE('Use Case Tracker'!D112,""en"",""vi""),'Use Case Tracker'!D112))"),"")</f>
        <v/>
      </c>
      <c r="E93" s="42" t="str">
        <f>IFERROR(__xludf.DUMMYFUNCTION("IF('Use Case Tracker'!E112="""","""",IFERROR(GOOGLETRANSLATE('Use Case Tracker'!E112,""en"",""vi""),'Use Case Tracker'!E112))"),"")</f>
        <v/>
      </c>
      <c r="F93" s="42" t="str">
        <f>IFERROR(__xludf.DUMMYFUNCTION("IF('Use Case Tracker'!F112="""","""",IFERROR(GOOGLETRANSLATE('Use Case Tracker'!F112,""en"",""vi""),'Use Case Tracker'!F112))"),"")</f>
        <v/>
      </c>
      <c r="G93" s="42" t="str">
        <f>IF('Use Case Tracker'!G112="","",SWITCH('Use Case Tracker'!G112,"Must-have","Bắt buộc","Should-have","Nên có","Could-have","Có thể có",'Use Case Tracker'!G112))</f>
        <v/>
      </c>
      <c r="H93" s="42" t="str">
        <f>IF('Use Case Tracker'!H112="","",SWITCH('Use Case Tracker'!H112,"Not Started","Chưa bắt đầu","In Progress","Đang làm","Done","Hoàn thành",'Use Case Tracker'!H112))</f>
        <v/>
      </c>
      <c r="I93" s="42" t="str">
        <f>IF('Use Case Tracker'!I112="","",'Use Case Tracker'!I112)</f>
        <v/>
      </c>
      <c r="J93" s="42" t="str">
        <f>IF('Use Case Tracker'!J112="","",'Use Case Tracker'!J112)</f>
        <v/>
      </c>
      <c r="K93" s="42" t="str">
        <f>IFERROR(__xludf.DUMMYFUNCTION("IF('Use Case Tracker'!K112="""","""",IFERROR(GOOGLETRANSLATE('Use Case Tracker'!K112,""en"",""vi""),'Use Case Tracker'!K112))"),"")</f>
        <v/>
      </c>
      <c r="L93" s="42" t="str">
        <f>IF('Use Case Tracker'!L112="","",SWITCH('Use Case Tracker'!L112,"Keep","Giữ trong scope","Could-have / Do after core","Có thể có / Làm sau core",'Use Case Tracker'!L112))</f>
        <v/>
      </c>
    </row>
    <row r="94">
      <c r="A94" s="42" t="str">
        <f>IF('Use Case Tracker'!A113="","",'Use Case Tracker'!A113)</f>
        <v/>
      </c>
      <c r="B94" s="42" t="str">
        <f>IFERROR(__xludf.DUMMYFUNCTION("IF('Use Case Tracker'!B113="""","""",IFERROR(GOOGLETRANSLATE('Use Case Tracker'!B113,""en"",""vi""),'Use Case Tracker'!B113))"),"")</f>
        <v/>
      </c>
      <c r="C94" s="42" t="str">
        <f>IFERROR(__xludf.DUMMYFUNCTION("IF('Use Case Tracker'!C113="""","""",IFERROR(GOOGLETRANSLATE('Use Case Tracker'!C113,""en"",""vi""),'Use Case Tracker'!C113))"),"")</f>
        <v/>
      </c>
      <c r="D94" s="42" t="str">
        <f>IFERROR(__xludf.DUMMYFUNCTION("IF('Use Case Tracker'!D113="""","""",IFERROR(GOOGLETRANSLATE('Use Case Tracker'!D113,""en"",""vi""),'Use Case Tracker'!D113))"),"")</f>
        <v/>
      </c>
      <c r="E94" s="42" t="str">
        <f>IFERROR(__xludf.DUMMYFUNCTION("IF('Use Case Tracker'!E113="""","""",IFERROR(GOOGLETRANSLATE('Use Case Tracker'!E113,""en"",""vi""),'Use Case Tracker'!E113))"),"")</f>
        <v/>
      </c>
      <c r="F94" s="42" t="str">
        <f>IFERROR(__xludf.DUMMYFUNCTION("IF('Use Case Tracker'!F113="""","""",IFERROR(GOOGLETRANSLATE('Use Case Tracker'!F113,""en"",""vi""),'Use Case Tracker'!F113))"),"")</f>
        <v/>
      </c>
      <c r="G94" s="42" t="str">
        <f>IF('Use Case Tracker'!G113="","",SWITCH('Use Case Tracker'!G113,"Must-have","Bắt buộc","Should-have","Nên có","Could-have","Có thể có",'Use Case Tracker'!G113))</f>
        <v/>
      </c>
      <c r="H94" s="42" t="str">
        <f>IF('Use Case Tracker'!H113="","",SWITCH('Use Case Tracker'!H113,"Not Started","Chưa bắt đầu","In Progress","Đang làm","Done","Hoàn thành",'Use Case Tracker'!H113))</f>
        <v/>
      </c>
      <c r="I94" s="42" t="str">
        <f>IF('Use Case Tracker'!I113="","",'Use Case Tracker'!I113)</f>
        <v/>
      </c>
      <c r="J94" s="42" t="str">
        <f>IF('Use Case Tracker'!J113="","",'Use Case Tracker'!J113)</f>
        <v/>
      </c>
      <c r="K94" s="42" t="str">
        <f>IFERROR(__xludf.DUMMYFUNCTION("IF('Use Case Tracker'!K113="""","""",IFERROR(GOOGLETRANSLATE('Use Case Tracker'!K113,""en"",""vi""),'Use Case Tracker'!K113))"),"")</f>
        <v/>
      </c>
      <c r="L94" s="42" t="str">
        <f>IF('Use Case Tracker'!L113="","",SWITCH('Use Case Tracker'!L113,"Keep","Giữ trong scope","Could-have / Do after core","Có thể có / Làm sau core",'Use Case Tracker'!L113))</f>
        <v/>
      </c>
    </row>
    <row r="95">
      <c r="A95" s="42" t="str">
        <f>IF('Use Case Tracker'!A114="","",'Use Case Tracker'!A114)</f>
        <v/>
      </c>
      <c r="B95" s="42" t="str">
        <f>IFERROR(__xludf.DUMMYFUNCTION("IF('Use Case Tracker'!B114="""","""",IFERROR(GOOGLETRANSLATE('Use Case Tracker'!B114,""en"",""vi""),'Use Case Tracker'!B114))"),"")</f>
        <v/>
      </c>
      <c r="C95" s="42" t="str">
        <f>IFERROR(__xludf.DUMMYFUNCTION("IF('Use Case Tracker'!C114="""","""",IFERROR(GOOGLETRANSLATE('Use Case Tracker'!C114,""en"",""vi""),'Use Case Tracker'!C114))"),"")</f>
        <v/>
      </c>
      <c r="D95" s="42" t="str">
        <f>IFERROR(__xludf.DUMMYFUNCTION("IF('Use Case Tracker'!D114="""","""",IFERROR(GOOGLETRANSLATE('Use Case Tracker'!D114,""en"",""vi""),'Use Case Tracker'!D114))"),"")</f>
        <v/>
      </c>
      <c r="E95" s="42" t="str">
        <f>IFERROR(__xludf.DUMMYFUNCTION("IF('Use Case Tracker'!E114="""","""",IFERROR(GOOGLETRANSLATE('Use Case Tracker'!E114,""en"",""vi""),'Use Case Tracker'!E114))"),"")</f>
        <v/>
      </c>
      <c r="F95" s="42" t="str">
        <f>IFERROR(__xludf.DUMMYFUNCTION("IF('Use Case Tracker'!F114="""","""",IFERROR(GOOGLETRANSLATE('Use Case Tracker'!F114,""en"",""vi""),'Use Case Tracker'!F114))"),"")</f>
        <v/>
      </c>
      <c r="G95" s="42" t="str">
        <f>IF('Use Case Tracker'!G114="","",SWITCH('Use Case Tracker'!G114,"Must-have","Bắt buộc","Should-have","Nên có","Could-have","Có thể có",'Use Case Tracker'!G114))</f>
        <v/>
      </c>
      <c r="H95" s="42" t="str">
        <f>IF('Use Case Tracker'!H114="","",SWITCH('Use Case Tracker'!H114,"Not Started","Chưa bắt đầu","In Progress","Đang làm","Done","Hoàn thành",'Use Case Tracker'!H114))</f>
        <v/>
      </c>
      <c r="I95" s="42" t="str">
        <f>IF('Use Case Tracker'!I114="","",'Use Case Tracker'!I114)</f>
        <v/>
      </c>
      <c r="J95" s="42" t="str">
        <f>IF('Use Case Tracker'!J114="","",'Use Case Tracker'!J114)</f>
        <v/>
      </c>
      <c r="K95" s="42" t="str">
        <f>IFERROR(__xludf.DUMMYFUNCTION("IF('Use Case Tracker'!K114="""","""",IFERROR(GOOGLETRANSLATE('Use Case Tracker'!K114,""en"",""vi""),'Use Case Tracker'!K114))"),"")</f>
        <v/>
      </c>
      <c r="L95" s="42" t="str">
        <f>IF('Use Case Tracker'!L114="","",SWITCH('Use Case Tracker'!L114,"Keep","Giữ trong scope","Could-have / Do after core","Có thể có / Làm sau core",'Use Case Tracker'!L114))</f>
        <v/>
      </c>
    </row>
    <row r="96">
      <c r="A96" s="42" t="str">
        <f>IF('Use Case Tracker'!A115="","",'Use Case Tracker'!A115)</f>
        <v/>
      </c>
      <c r="B96" s="42" t="str">
        <f>IFERROR(__xludf.DUMMYFUNCTION("IF('Use Case Tracker'!B115="""","""",IFERROR(GOOGLETRANSLATE('Use Case Tracker'!B115,""en"",""vi""),'Use Case Tracker'!B115))"),"")</f>
        <v/>
      </c>
      <c r="C96" s="42" t="str">
        <f>IFERROR(__xludf.DUMMYFUNCTION("IF('Use Case Tracker'!C115="""","""",IFERROR(GOOGLETRANSLATE('Use Case Tracker'!C115,""en"",""vi""),'Use Case Tracker'!C115))"),"")</f>
        <v/>
      </c>
      <c r="D96" s="42" t="str">
        <f>IFERROR(__xludf.DUMMYFUNCTION("IF('Use Case Tracker'!D115="""","""",IFERROR(GOOGLETRANSLATE('Use Case Tracker'!D115,""en"",""vi""),'Use Case Tracker'!D115))"),"")</f>
        <v/>
      </c>
      <c r="E96" s="42" t="str">
        <f>IFERROR(__xludf.DUMMYFUNCTION("IF('Use Case Tracker'!E115="""","""",IFERROR(GOOGLETRANSLATE('Use Case Tracker'!E115,""en"",""vi""),'Use Case Tracker'!E115))"),"")</f>
        <v/>
      </c>
      <c r="F96" s="42" t="str">
        <f>IFERROR(__xludf.DUMMYFUNCTION("IF('Use Case Tracker'!F115="""","""",IFERROR(GOOGLETRANSLATE('Use Case Tracker'!F115,""en"",""vi""),'Use Case Tracker'!F115))"),"")</f>
        <v/>
      </c>
      <c r="G96" s="42" t="str">
        <f>IF('Use Case Tracker'!G115="","",SWITCH('Use Case Tracker'!G115,"Must-have","Bắt buộc","Should-have","Nên có","Could-have","Có thể có",'Use Case Tracker'!G115))</f>
        <v/>
      </c>
      <c r="H96" s="42" t="str">
        <f>IF('Use Case Tracker'!H115="","",SWITCH('Use Case Tracker'!H115,"Not Started","Chưa bắt đầu","In Progress","Đang làm","Done","Hoàn thành",'Use Case Tracker'!H115))</f>
        <v/>
      </c>
      <c r="I96" s="42" t="str">
        <f>IF('Use Case Tracker'!I115="","",'Use Case Tracker'!I115)</f>
        <v/>
      </c>
      <c r="J96" s="42" t="str">
        <f>IF('Use Case Tracker'!J115="","",'Use Case Tracker'!J115)</f>
        <v/>
      </c>
      <c r="K96" s="42" t="str">
        <f>IFERROR(__xludf.DUMMYFUNCTION("IF('Use Case Tracker'!K115="""","""",IFERROR(GOOGLETRANSLATE('Use Case Tracker'!K115,""en"",""vi""),'Use Case Tracker'!K115))"),"")</f>
        <v/>
      </c>
      <c r="L96" s="42" t="str">
        <f>IF('Use Case Tracker'!L115="","",SWITCH('Use Case Tracker'!L115,"Keep","Giữ trong scope","Could-have / Do after core","Có thể có / Làm sau core",'Use Case Tracker'!L115))</f>
        <v/>
      </c>
    </row>
    <row r="97">
      <c r="A97" s="42" t="str">
        <f>IF('Use Case Tracker'!A116="","",'Use Case Tracker'!A116)</f>
        <v/>
      </c>
      <c r="B97" s="42" t="str">
        <f>IFERROR(__xludf.DUMMYFUNCTION("IF('Use Case Tracker'!B116="""","""",IFERROR(GOOGLETRANSLATE('Use Case Tracker'!B116,""en"",""vi""),'Use Case Tracker'!B116))"),"")</f>
        <v/>
      </c>
      <c r="C97" s="42" t="str">
        <f>IFERROR(__xludf.DUMMYFUNCTION("IF('Use Case Tracker'!C116="""","""",IFERROR(GOOGLETRANSLATE('Use Case Tracker'!C116,""en"",""vi""),'Use Case Tracker'!C116))"),"")</f>
        <v/>
      </c>
      <c r="D97" s="42" t="str">
        <f>IFERROR(__xludf.DUMMYFUNCTION("IF('Use Case Tracker'!D116="""","""",IFERROR(GOOGLETRANSLATE('Use Case Tracker'!D116,""en"",""vi""),'Use Case Tracker'!D116))"),"")</f>
        <v/>
      </c>
      <c r="E97" s="42" t="str">
        <f>IFERROR(__xludf.DUMMYFUNCTION("IF('Use Case Tracker'!E116="""","""",IFERROR(GOOGLETRANSLATE('Use Case Tracker'!E116,""en"",""vi""),'Use Case Tracker'!E116))"),"")</f>
        <v/>
      </c>
      <c r="F97" s="42" t="str">
        <f>IFERROR(__xludf.DUMMYFUNCTION("IF('Use Case Tracker'!F116="""","""",IFERROR(GOOGLETRANSLATE('Use Case Tracker'!F116,""en"",""vi""),'Use Case Tracker'!F116))"),"")</f>
        <v/>
      </c>
      <c r="G97" s="42" t="str">
        <f>IF('Use Case Tracker'!G116="","",SWITCH('Use Case Tracker'!G116,"Must-have","Bắt buộc","Should-have","Nên có","Could-have","Có thể có",'Use Case Tracker'!G116))</f>
        <v/>
      </c>
      <c r="H97" s="42" t="str">
        <f>IF('Use Case Tracker'!H116="","",SWITCH('Use Case Tracker'!H116,"Not Started","Chưa bắt đầu","In Progress","Đang làm","Done","Hoàn thành",'Use Case Tracker'!H116))</f>
        <v/>
      </c>
      <c r="I97" s="42" t="str">
        <f>IF('Use Case Tracker'!I116="","",'Use Case Tracker'!I116)</f>
        <v/>
      </c>
      <c r="J97" s="42" t="str">
        <f>IF('Use Case Tracker'!J116="","",'Use Case Tracker'!J116)</f>
        <v/>
      </c>
      <c r="K97" s="42" t="str">
        <f>IFERROR(__xludf.DUMMYFUNCTION("IF('Use Case Tracker'!K116="""","""",IFERROR(GOOGLETRANSLATE('Use Case Tracker'!K116,""en"",""vi""),'Use Case Tracker'!K116))"),"")</f>
        <v/>
      </c>
      <c r="L97" s="42" t="str">
        <f>IF('Use Case Tracker'!L116="","",SWITCH('Use Case Tracker'!L116,"Keep","Giữ trong scope","Could-have / Do after core","Có thể có / Làm sau core",'Use Case Tracker'!L116))</f>
        <v/>
      </c>
    </row>
    <row r="98">
      <c r="A98" s="42" t="str">
        <f>IF('Use Case Tracker'!A117="","",'Use Case Tracker'!A117)</f>
        <v/>
      </c>
      <c r="B98" s="42" t="str">
        <f>IFERROR(__xludf.DUMMYFUNCTION("IF('Use Case Tracker'!B117="""","""",IFERROR(GOOGLETRANSLATE('Use Case Tracker'!B117,""en"",""vi""),'Use Case Tracker'!B117))"),"")</f>
        <v/>
      </c>
      <c r="C98" s="42" t="str">
        <f>IFERROR(__xludf.DUMMYFUNCTION("IF('Use Case Tracker'!C117="""","""",IFERROR(GOOGLETRANSLATE('Use Case Tracker'!C117,""en"",""vi""),'Use Case Tracker'!C117))"),"")</f>
        <v/>
      </c>
      <c r="D98" s="42" t="str">
        <f>IFERROR(__xludf.DUMMYFUNCTION("IF('Use Case Tracker'!D117="""","""",IFERROR(GOOGLETRANSLATE('Use Case Tracker'!D117,""en"",""vi""),'Use Case Tracker'!D117))"),"")</f>
        <v/>
      </c>
      <c r="E98" s="42" t="str">
        <f>IFERROR(__xludf.DUMMYFUNCTION("IF('Use Case Tracker'!E117="""","""",IFERROR(GOOGLETRANSLATE('Use Case Tracker'!E117,""en"",""vi""),'Use Case Tracker'!E117))"),"")</f>
        <v/>
      </c>
      <c r="F98" s="42" t="str">
        <f>IFERROR(__xludf.DUMMYFUNCTION("IF('Use Case Tracker'!F117="""","""",IFERROR(GOOGLETRANSLATE('Use Case Tracker'!F117,""en"",""vi""),'Use Case Tracker'!F117))"),"")</f>
        <v/>
      </c>
      <c r="G98" s="42" t="str">
        <f>IF('Use Case Tracker'!G117="","",SWITCH('Use Case Tracker'!G117,"Must-have","Bắt buộc","Should-have","Nên có","Could-have","Có thể có",'Use Case Tracker'!G117))</f>
        <v/>
      </c>
      <c r="H98" s="42" t="str">
        <f>IF('Use Case Tracker'!H117="","",SWITCH('Use Case Tracker'!H117,"Not Started","Chưa bắt đầu","In Progress","Đang làm","Done","Hoàn thành",'Use Case Tracker'!H117))</f>
        <v/>
      </c>
      <c r="I98" s="42" t="str">
        <f>IF('Use Case Tracker'!I117="","",'Use Case Tracker'!I117)</f>
        <v/>
      </c>
      <c r="J98" s="42" t="str">
        <f>IF('Use Case Tracker'!J117="","",'Use Case Tracker'!J117)</f>
        <v/>
      </c>
      <c r="K98" s="42" t="str">
        <f>IFERROR(__xludf.DUMMYFUNCTION("IF('Use Case Tracker'!K117="""","""",IFERROR(GOOGLETRANSLATE('Use Case Tracker'!K117,""en"",""vi""),'Use Case Tracker'!K117))"),"")</f>
        <v/>
      </c>
      <c r="L98" s="42" t="str">
        <f>IF('Use Case Tracker'!L117="","",SWITCH('Use Case Tracker'!L117,"Keep","Giữ trong scope","Could-have / Do after core","Có thể có / Làm sau core",'Use Case Tracker'!L117))</f>
        <v/>
      </c>
    </row>
    <row r="99">
      <c r="A99" s="42" t="str">
        <f>IF('Use Case Tracker'!A118="","",'Use Case Tracker'!A118)</f>
        <v/>
      </c>
      <c r="B99" s="42" t="str">
        <f>IFERROR(__xludf.DUMMYFUNCTION("IF('Use Case Tracker'!B118="""","""",IFERROR(GOOGLETRANSLATE('Use Case Tracker'!B118,""en"",""vi""),'Use Case Tracker'!B118))"),"")</f>
        <v/>
      </c>
      <c r="C99" s="42" t="str">
        <f>IFERROR(__xludf.DUMMYFUNCTION("IF('Use Case Tracker'!C118="""","""",IFERROR(GOOGLETRANSLATE('Use Case Tracker'!C118,""en"",""vi""),'Use Case Tracker'!C118))"),"")</f>
        <v/>
      </c>
      <c r="D99" s="42" t="str">
        <f>IFERROR(__xludf.DUMMYFUNCTION("IF('Use Case Tracker'!D118="""","""",IFERROR(GOOGLETRANSLATE('Use Case Tracker'!D118,""en"",""vi""),'Use Case Tracker'!D118))"),"")</f>
        <v/>
      </c>
      <c r="E99" s="42" t="str">
        <f>IFERROR(__xludf.DUMMYFUNCTION("IF('Use Case Tracker'!E118="""","""",IFERROR(GOOGLETRANSLATE('Use Case Tracker'!E118,""en"",""vi""),'Use Case Tracker'!E118))"),"")</f>
        <v/>
      </c>
      <c r="F99" s="42" t="str">
        <f>IFERROR(__xludf.DUMMYFUNCTION("IF('Use Case Tracker'!F118="""","""",IFERROR(GOOGLETRANSLATE('Use Case Tracker'!F118,""en"",""vi""),'Use Case Tracker'!F118))"),"")</f>
        <v/>
      </c>
      <c r="G99" s="42" t="str">
        <f>IF('Use Case Tracker'!G118="","",SWITCH('Use Case Tracker'!G118,"Must-have","Bắt buộc","Should-have","Nên có","Could-have","Có thể có",'Use Case Tracker'!G118))</f>
        <v/>
      </c>
      <c r="H99" s="42" t="str">
        <f>IF('Use Case Tracker'!H118="","",SWITCH('Use Case Tracker'!H118,"Not Started","Chưa bắt đầu","In Progress","Đang làm","Done","Hoàn thành",'Use Case Tracker'!H118))</f>
        <v/>
      </c>
      <c r="I99" s="42" t="str">
        <f>IF('Use Case Tracker'!I118="","",'Use Case Tracker'!I118)</f>
        <v/>
      </c>
      <c r="J99" s="42" t="str">
        <f>IF('Use Case Tracker'!J118="","",'Use Case Tracker'!J118)</f>
        <v/>
      </c>
      <c r="K99" s="42" t="str">
        <f>IFERROR(__xludf.DUMMYFUNCTION("IF('Use Case Tracker'!K118="""","""",IFERROR(GOOGLETRANSLATE('Use Case Tracker'!K118,""en"",""vi""),'Use Case Tracker'!K118))"),"")</f>
        <v/>
      </c>
      <c r="L99" s="42" t="str">
        <f>IF('Use Case Tracker'!L118="","",SWITCH('Use Case Tracker'!L118,"Keep","Giữ trong scope","Could-have / Do after core","Có thể có / Làm sau core",'Use Case Tracker'!L118))</f>
        <v/>
      </c>
    </row>
    <row r="100">
      <c r="A100" s="42" t="str">
        <f>IF('Use Case Tracker'!A119="","",'Use Case Tracker'!A119)</f>
        <v/>
      </c>
      <c r="B100" s="42" t="str">
        <f>IFERROR(__xludf.DUMMYFUNCTION("IF('Use Case Tracker'!B119="""","""",IFERROR(GOOGLETRANSLATE('Use Case Tracker'!B119,""en"",""vi""),'Use Case Tracker'!B119))"),"")</f>
        <v/>
      </c>
      <c r="C100" s="42" t="str">
        <f>IFERROR(__xludf.DUMMYFUNCTION("IF('Use Case Tracker'!C119="""","""",IFERROR(GOOGLETRANSLATE('Use Case Tracker'!C119,""en"",""vi""),'Use Case Tracker'!C119))"),"")</f>
        <v/>
      </c>
      <c r="D100" s="42" t="str">
        <f>IFERROR(__xludf.DUMMYFUNCTION("IF('Use Case Tracker'!D119="""","""",IFERROR(GOOGLETRANSLATE('Use Case Tracker'!D119,""en"",""vi""),'Use Case Tracker'!D119))"),"")</f>
        <v/>
      </c>
      <c r="E100" s="42" t="str">
        <f>IFERROR(__xludf.DUMMYFUNCTION("IF('Use Case Tracker'!E119="""","""",IFERROR(GOOGLETRANSLATE('Use Case Tracker'!E119,""en"",""vi""),'Use Case Tracker'!E119))"),"")</f>
        <v/>
      </c>
      <c r="F100" s="42" t="str">
        <f>IFERROR(__xludf.DUMMYFUNCTION("IF('Use Case Tracker'!F119="""","""",IFERROR(GOOGLETRANSLATE('Use Case Tracker'!F119,""en"",""vi""),'Use Case Tracker'!F119))"),"")</f>
        <v/>
      </c>
      <c r="G100" s="42" t="str">
        <f>IF('Use Case Tracker'!G119="","",SWITCH('Use Case Tracker'!G119,"Must-have","Bắt buộc","Should-have","Nên có","Could-have","Có thể có",'Use Case Tracker'!G119))</f>
        <v/>
      </c>
      <c r="H100" s="42" t="str">
        <f>IF('Use Case Tracker'!H119="","",SWITCH('Use Case Tracker'!H119,"Not Started","Chưa bắt đầu","In Progress","Đang làm","Done","Hoàn thành",'Use Case Tracker'!H119))</f>
        <v/>
      </c>
      <c r="I100" s="42" t="str">
        <f>IF('Use Case Tracker'!I119="","",'Use Case Tracker'!I119)</f>
        <v/>
      </c>
      <c r="J100" s="42" t="str">
        <f>IF('Use Case Tracker'!J119="","",'Use Case Tracker'!J119)</f>
        <v/>
      </c>
      <c r="K100" s="42" t="str">
        <f>IFERROR(__xludf.DUMMYFUNCTION("IF('Use Case Tracker'!K119="""","""",IFERROR(GOOGLETRANSLATE('Use Case Tracker'!K119,""en"",""vi""),'Use Case Tracker'!K119))"),"")</f>
        <v/>
      </c>
      <c r="L100" s="42" t="str">
        <f>IF('Use Case Tracker'!L119="","",SWITCH('Use Case Tracker'!L119,"Keep","Giữ trong scope","Could-have / Do after core","Có thể có / Làm sau core",'Use Case Tracker'!L119))</f>
        <v/>
      </c>
    </row>
    <row r="101">
      <c r="A101" s="42" t="str">
        <f>IF('Use Case Tracker'!A120="","",'Use Case Tracker'!A120)</f>
        <v/>
      </c>
      <c r="B101" s="42" t="str">
        <f>IFERROR(__xludf.DUMMYFUNCTION("IF('Use Case Tracker'!B120="""","""",IFERROR(GOOGLETRANSLATE('Use Case Tracker'!B120,""en"",""vi""),'Use Case Tracker'!B120))"),"")</f>
        <v/>
      </c>
      <c r="C101" s="42" t="str">
        <f>IFERROR(__xludf.DUMMYFUNCTION("IF('Use Case Tracker'!C120="""","""",IFERROR(GOOGLETRANSLATE('Use Case Tracker'!C120,""en"",""vi""),'Use Case Tracker'!C120))"),"")</f>
        <v/>
      </c>
      <c r="D101" s="42" t="str">
        <f>IFERROR(__xludf.DUMMYFUNCTION("IF('Use Case Tracker'!D120="""","""",IFERROR(GOOGLETRANSLATE('Use Case Tracker'!D120,""en"",""vi""),'Use Case Tracker'!D120))"),"")</f>
        <v/>
      </c>
      <c r="E101" s="42" t="str">
        <f>IFERROR(__xludf.DUMMYFUNCTION("IF('Use Case Tracker'!E120="""","""",IFERROR(GOOGLETRANSLATE('Use Case Tracker'!E120,""en"",""vi""),'Use Case Tracker'!E120))"),"")</f>
        <v/>
      </c>
      <c r="F101" s="42" t="str">
        <f>IFERROR(__xludf.DUMMYFUNCTION("IF('Use Case Tracker'!F120="""","""",IFERROR(GOOGLETRANSLATE('Use Case Tracker'!F120,""en"",""vi""),'Use Case Tracker'!F120))"),"")</f>
        <v/>
      </c>
      <c r="G101" s="42" t="str">
        <f>IF('Use Case Tracker'!G120="","",SWITCH('Use Case Tracker'!G120,"Must-have","Bắt buộc","Should-have","Nên có","Could-have","Có thể có",'Use Case Tracker'!G120))</f>
        <v/>
      </c>
      <c r="H101" s="42" t="str">
        <f>IF('Use Case Tracker'!H120="","",SWITCH('Use Case Tracker'!H120,"Not Started","Chưa bắt đầu","In Progress","Đang làm","Done","Hoàn thành",'Use Case Tracker'!H120))</f>
        <v/>
      </c>
      <c r="I101" s="42" t="str">
        <f>IF('Use Case Tracker'!I120="","",'Use Case Tracker'!I120)</f>
        <v/>
      </c>
      <c r="J101" s="42" t="str">
        <f>IF('Use Case Tracker'!J120="","",'Use Case Tracker'!J120)</f>
        <v/>
      </c>
      <c r="K101" s="42" t="str">
        <f>IFERROR(__xludf.DUMMYFUNCTION("IF('Use Case Tracker'!K120="""","""",IFERROR(GOOGLETRANSLATE('Use Case Tracker'!K120,""en"",""vi""),'Use Case Tracker'!K120))"),"")</f>
        <v/>
      </c>
      <c r="L101" s="42" t="str">
        <f>IF('Use Case Tracker'!L120="","",SWITCH('Use Case Tracker'!L120,"Keep","Giữ trong scope","Could-have / Do after core","Có thể có / Làm sau core",'Use Case Tracker'!L120))</f>
        <v/>
      </c>
    </row>
    <row r="102">
      <c r="A102" s="42" t="str">
        <f>IF('Use Case Tracker'!A121="","",'Use Case Tracker'!A121)</f>
        <v/>
      </c>
      <c r="B102" s="42" t="str">
        <f>IFERROR(__xludf.DUMMYFUNCTION("IF('Use Case Tracker'!B121="""","""",IFERROR(GOOGLETRANSLATE('Use Case Tracker'!B121,""en"",""vi""),'Use Case Tracker'!B121))"),"")</f>
        <v/>
      </c>
      <c r="C102" s="42" t="str">
        <f>IFERROR(__xludf.DUMMYFUNCTION("IF('Use Case Tracker'!C121="""","""",IFERROR(GOOGLETRANSLATE('Use Case Tracker'!C121,""en"",""vi""),'Use Case Tracker'!C121))"),"")</f>
        <v/>
      </c>
      <c r="D102" s="42" t="str">
        <f>IFERROR(__xludf.DUMMYFUNCTION("IF('Use Case Tracker'!D121="""","""",IFERROR(GOOGLETRANSLATE('Use Case Tracker'!D121,""en"",""vi""),'Use Case Tracker'!D121))"),"")</f>
        <v/>
      </c>
      <c r="E102" s="42" t="str">
        <f>IFERROR(__xludf.DUMMYFUNCTION("IF('Use Case Tracker'!E121="""","""",IFERROR(GOOGLETRANSLATE('Use Case Tracker'!E121,""en"",""vi""),'Use Case Tracker'!E121))"),"")</f>
        <v/>
      </c>
      <c r="F102" s="42" t="str">
        <f>IFERROR(__xludf.DUMMYFUNCTION("IF('Use Case Tracker'!F121="""","""",IFERROR(GOOGLETRANSLATE('Use Case Tracker'!F121,""en"",""vi""),'Use Case Tracker'!F121))"),"")</f>
        <v/>
      </c>
      <c r="G102" s="42" t="str">
        <f>IF('Use Case Tracker'!G121="","",SWITCH('Use Case Tracker'!G121,"Must-have","Bắt buộc","Should-have","Nên có","Could-have","Có thể có",'Use Case Tracker'!G121))</f>
        <v/>
      </c>
      <c r="H102" s="42" t="str">
        <f>IF('Use Case Tracker'!H121="","",SWITCH('Use Case Tracker'!H121,"Not Started","Chưa bắt đầu","In Progress","Đang làm","Done","Hoàn thành",'Use Case Tracker'!H121))</f>
        <v/>
      </c>
      <c r="I102" s="42" t="str">
        <f>IF('Use Case Tracker'!I121="","",'Use Case Tracker'!I121)</f>
        <v/>
      </c>
      <c r="J102" s="42" t="str">
        <f>IF('Use Case Tracker'!J121="","",'Use Case Tracker'!J121)</f>
        <v/>
      </c>
      <c r="K102" s="42" t="str">
        <f>IFERROR(__xludf.DUMMYFUNCTION("IF('Use Case Tracker'!K121="""","""",IFERROR(GOOGLETRANSLATE('Use Case Tracker'!K121,""en"",""vi""),'Use Case Tracker'!K121))"),"")</f>
        <v/>
      </c>
      <c r="L102" s="42" t="str">
        <f>IF('Use Case Tracker'!L121="","",SWITCH('Use Case Tracker'!L121,"Keep","Giữ trong scope","Could-have / Do after core","Có thể có / Làm sau core",'Use Case Tracker'!L121))</f>
        <v/>
      </c>
    </row>
    <row r="103">
      <c r="A103" s="42" t="str">
        <f>IF('Use Case Tracker'!A122="","",'Use Case Tracker'!A122)</f>
        <v/>
      </c>
      <c r="B103" s="42" t="str">
        <f>IFERROR(__xludf.DUMMYFUNCTION("IF('Use Case Tracker'!B122="""","""",IFERROR(GOOGLETRANSLATE('Use Case Tracker'!B122,""en"",""vi""),'Use Case Tracker'!B122))"),"")</f>
        <v/>
      </c>
      <c r="C103" s="42" t="str">
        <f>IFERROR(__xludf.DUMMYFUNCTION("IF('Use Case Tracker'!C122="""","""",IFERROR(GOOGLETRANSLATE('Use Case Tracker'!C122,""en"",""vi""),'Use Case Tracker'!C122))"),"")</f>
        <v/>
      </c>
      <c r="D103" s="42" t="str">
        <f>IFERROR(__xludf.DUMMYFUNCTION("IF('Use Case Tracker'!D122="""","""",IFERROR(GOOGLETRANSLATE('Use Case Tracker'!D122,""en"",""vi""),'Use Case Tracker'!D122))"),"")</f>
        <v/>
      </c>
      <c r="E103" s="42" t="str">
        <f>IFERROR(__xludf.DUMMYFUNCTION("IF('Use Case Tracker'!E122="""","""",IFERROR(GOOGLETRANSLATE('Use Case Tracker'!E122,""en"",""vi""),'Use Case Tracker'!E122))"),"")</f>
        <v/>
      </c>
      <c r="F103" s="42" t="str">
        <f>IFERROR(__xludf.DUMMYFUNCTION("IF('Use Case Tracker'!F122="""","""",IFERROR(GOOGLETRANSLATE('Use Case Tracker'!F122,""en"",""vi""),'Use Case Tracker'!F122))"),"")</f>
        <v/>
      </c>
      <c r="G103" s="42" t="str">
        <f>IF('Use Case Tracker'!G122="","",SWITCH('Use Case Tracker'!G122,"Must-have","Bắt buộc","Should-have","Nên có","Could-have","Có thể có",'Use Case Tracker'!G122))</f>
        <v/>
      </c>
      <c r="H103" s="42" t="str">
        <f>IF('Use Case Tracker'!H122="","",SWITCH('Use Case Tracker'!H122,"Not Started","Chưa bắt đầu","In Progress","Đang làm","Done","Hoàn thành",'Use Case Tracker'!H122))</f>
        <v/>
      </c>
      <c r="I103" s="42" t="str">
        <f>IF('Use Case Tracker'!I122="","",'Use Case Tracker'!I122)</f>
        <v/>
      </c>
      <c r="J103" s="42" t="str">
        <f>IF('Use Case Tracker'!J122="","",'Use Case Tracker'!J122)</f>
        <v/>
      </c>
      <c r="K103" s="42" t="str">
        <f>IFERROR(__xludf.DUMMYFUNCTION("IF('Use Case Tracker'!K122="""","""",IFERROR(GOOGLETRANSLATE('Use Case Tracker'!K122,""en"",""vi""),'Use Case Tracker'!K122))"),"")</f>
        <v/>
      </c>
      <c r="L103" s="42" t="str">
        <f>IF('Use Case Tracker'!L122="","",SWITCH('Use Case Tracker'!L122,"Keep","Giữ trong scope","Could-have / Do after core","Có thể có / Làm sau core",'Use Case Tracker'!L122))</f>
        <v/>
      </c>
    </row>
    <row r="104">
      <c r="A104" s="42" t="str">
        <f>IF('Use Case Tracker'!A123="","",'Use Case Tracker'!A123)</f>
        <v/>
      </c>
      <c r="B104" s="42" t="str">
        <f>IFERROR(__xludf.DUMMYFUNCTION("IF('Use Case Tracker'!B123="""","""",IFERROR(GOOGLETRANSLATE('Use Case Tracker'!B123,""en"",""vi""),'Use Case Tracker'!B123))"),"")</f>
        <v/>
      </c>
      <c r="C104" s="42" t="str">
        <f>IFERROR(__xludf.DUMMYFUNCTION("IF('Use Case Tracker'!C123="""","""",IFERROR(GOOGLETRANSLATE('Use Case Tracker'!C123,""en"",""vi""),'Use Case Tracker'!C123))"),"")</f>
        <v/>
      </c>
      <c r="D104" s="42" t="str">
        <f>IFERROR(__xludf.DUMMYFUNCTION("IF('Use Case Tracker'!D123="""","""",IFERROR(GOOGLETRANSLATE('Use Case Tracker'!D123,""en"",""vi""),'Use Case Tracker'!D123))"),"")</f>
        <v/>
      </c>
      <c r="E104" s="42" t="str">
        <f>IFERROR(__xludf.DUMMYFUNCTION("IF('Use Case Tracker'!E123="""","""",IFERROR(GOOGLETRANSLATE('Use Case Tracker'!E123,""en"",""vi""),'Use Case Tracker'!E123))"),"")</f>
        <v/>
      </c>
      <c r="F104" s="42" t="str">
        <f>IFERROR(__xludf.DUMMYFUNCTION("IF('Use Case Tracker'!F123="""","""",IFERROR(GOOGLETRANSLATE('Use Case Tracker'!F123,""en"",""vi""),'Use Case Tracker'!F123))"),"")</f>
        <v/>
      </c>
      <c r="G104" s="42" t="str">
        <f>IF('Use Case Tracker'!G123="","",SWITCH('Use Case Tracker'!G123,"Must-have","Bắt buộc","Should-have","Nên có","Could-have","Có thể có",'Use Case Tracker'!G123))</f>
        <v/>
      </c>
      <c r="H104" s="42" t="str">
        <f>IF('Use Case Tracker'!H123="","",SWITCH('Use Case Tracker'!H123,"Not Started","Chưa bắt đầu","In Progress","Đang làm","Done","Hoàn thành",'Use Case Tracker'!H123))</f>
        <v/>
      </c>
      <c r="I104" s="42" t="str">
        <f>IF('Use Case Tracker'!I123="","",'Use Case Tracker'!I123)</f>
        <v/>
      </c>
      <c r="J104" s="42" t="str">
        <f>IF('Use Case Tracker'!J123="","",'Use Case Tracker'!J123)</f>
        <v/>
      </c>
      <c r="K104" s="42" t="str">
        <f>IFERROR(__xludf.DUMMYFUNCTION("IF('Use Case Tracker'!K123="""","""",IFERROR(GOOGLETRANSLATE('Use Case Tracker'!K123,""en"",""vi""),'Use Case Tracker'!K123))"),"")</f>
        <v/>
      </c>
      <c r="L104" s="42" t="str">
        <f>IF('Use Case Tracker'!L123="","",SWITCH('Use Case Tracker'!L123,"Keep","Giữ trong scope","Could-have / Do after core","Có thể có / Làm sau core",'Use Case Tracker'!L123))</f>
        <v/>
      </c>
    </row>
    <row r="105">
      <c r="A105" s="42" t="str">
        <f>IF('Use Case Tracker'!A124="","",'Use Case Tracker'!A124)</f>
        <v/>
      </c>
      <c r="B105" s="42" t="str">
        <f>IFERROR(__xludf.DUMMYFUNCTION("IF('Use Case Tracker'!B124="""","""",IFERROR(GOOGLETRANSLATE('Use Case Tracker'!B124,""en"",""vi""),'Use Case Tracker'!B124))"),"")</f>
        <v/>
      </c>
      <c r="C105" s="42" t="str">
        <f>IFERROR(__xludf.DUMMYFUNCTION("IF('Use Case Tracker'!C124="""","""",IFERROR(GOOGLETRANSLATE('Use Case Tracker'!C124,""en"",""vi""),'Use Case Tracker'!C124))"),"")</f>
        <v/>
      </c>
      <c r="D105" s="42" t="str">
        <f>IFERROR(__xludf.DUMMYFUNCTION("IF('Use Case Tracker'!D124="""","""",IFERROR(GOOGLETRANSLATE('Use Case Tracker'!D124,""en"",""vi""),'Use Case Tracker'!D124))"),"")</f>
        <v/>
      </c>
      <c r="E105" s="42" t="str">
        <f>IFERROR(__xludf.DUMMYFUNCTION("IF('Use Case Tracker'!E124="""","""",IFERROR(GOOGLETRANSLATE('Use Case Tracker'!E124,""en"",""vi""),'Use Case Tracker'!E124))"),"")</f>
        <v/>
      </c>
      <c r="F105" s="42" t="str">
        <f>IFERROR(__xludf.DUMMYFUNCTION("IF('Use Case Tracker'!F124="""","""",IFERROR(GOOGLETRANSLATE('Use Case Tracker'!F124,""en"",""vi""),'Use Case Tracker'!F124))"),"")</f>
        <v/>
      </c>
      <c r="G105" s="42" t="str">
        <f>IF('Use Case Tracker'!G124="","",SWITCH('Use Case Tracker'!G124,"Must-have","Bắt buộc","Should-have","Nên có","Could-have","Có thể có",'Use Case Tracker'!G124))</f>
        <v/>
      </c>
      <c r="H105" s="42" t="str">
        <f>IF('Use Case Tracker'!H124="","",SWITCH('Use Case Tracker'!H124,"Not Started","Chưa bắt đầu","In Progress","Đang làm","Done","Hoàn thành",'Use Case Tracker'!H124))</f>
        <v/>
      </c>
      <c r="I105" s="42" t="str">
        <f>IF('Use Case Tracker'!I124="","",'Use Case Tracker'!I124)</f>
        <v/>
      </c>
      <c r="J105" s="42" t="str">
        <f>IF('Use Case Tracker'!J124="","",'Use Case Tracker'!J124)</f>
        <v/>
      </c>
      <c r="K105" s="42" t="str">
        <f>IFERROR(__xludf.DUMMYFUNCTION("IF('Use Case Tracker'!K124="""","""",IFERROR(GOOGLETRANSLATE('Use Case Tracker'!K124,""en"",""vi""),'Use Case Tracker'!K124))"),"")</f>
        <v/>
      </c>
      <c r="L105" s="42" t="str">
        <f>IF('Use Case Tracker'!L124="","",SWITCH('Use Case Tracker'!L124,"Keep","Giữ trong scope","Could-have / Do after core","Có thể có / Làm sau core",'Use Case Tracker'!L124))</f>
        <v/>
      </c>
    </row>
    <row r="106">
      <c r="A106" s="42" t="str">
        <f>IF('Use Case Tracker'!A125="","",'Use Case Tracker'!A125)</f>
        <v/>
      </c>
      <c r="B106" s="42" t="str">
        <f>IFERROR(__xludf.DUMMYFUNCTION("IF('Use Case Tracker'!B125="""","""",IFERROR(GOOGLETRANSLATE('Use Case Tracker'!B125,""en"",""vi""),'Use Case Tracker'!B125))"),"")</f>
        <v/>
      </c>
      <c r="C106" s="42" t="str">
        <f>IFERROR(__xludf.DUMMYFUNCTION("IF('Use Case Tracker'!C125="""","""",IFERROR(GOOGLETRANSLATE('Use Case Tracker'!C125,""en"",""vi""),'Use Case Tracker'!C125))"),"")</f>
        <v/>
      </c>
      <c r="D106" s="42" t="str">
        <f>IFERROR(__xludf.DUMMYFUNCTION("IF('Use Case Tracker'!D125="""","""",IFERROR(GOOGLETRANSLATE('Use Case Tracker'!D125,""en"",""vi""),'Use Case Tracker'!D125))"),"")</f>
        <v/>
      </c>
      <c r="E106" s="42" t="str">
        <f>IFERROR(__xludf.DUMMYFUNCTION("IF('Use Case Tracker'!E125="""","""",IFERROR(GOOGLETRANSLATE('Use Case Tracker'!E125,""en"",""vi""),'Use Case Tracker'!E125))"),"")</f>
        <v/>
      </c>
      <c r="F106" s="42" t="str">
        <f>IFERROR(__xludf.DUMMYFUNCTION("IF('Use Case Tracker'!F125="""","""",IFERROR(GOOGLETRANSLATE('Use Case Tracker'!F125,""en"",""vi""),'Use Case Tracker'!F125))"),"")</f>
        <v/>
      </c>
      <c r="G106" s="42" t="str">
        <f>IF('Use Case Tracker'!G125="","",SWITCH('Use Case Tracker'!G125,"Must-have","Bắt buộc","Should-have","Nên có","Could-have","Có thể có",'Use Case Tracker'!G125))</f>
        <v/>
      </c>
      <c r="H106" s="42" t="str">
        <f>IF('Use Case Tracker'!H125="","",SWITCH('Use Case Tracker'!H125,"Not Started","Chưa bắt đầu","In Progress","Đang làm","Done","Hoàn thành",'Use Case Tracker'!H125))</f>
        <v/>
      </c>
      <c r="I106" s="42" t="str">
        <f>IF('Use Case Tracker'!I125="","",'Use Case Tracker'!I125)</f>
        <v/>
      </c>
      <c r="J106" s="42" t="str">
        <f>IF('Use Case Tracker'!J125="","",'Use Case Tracker'!J125)</f>
        <v/>
      </c>
      <c r="K106" s="42" t="str">
        <f>IFERROR(__xludf.DUMMYFUNCTION("IF('Use Case Tracker'!K125="""","""",IFERROR(GOOGLETRANSLATE('Use Case Tracker'!K125,""en"",""vi""),'Use Case Tracker'!K125))"),"")</f>
        <v/>
      </c>
      <c r="L106" s="42" t="str">
        <f>IF('Use Case Tracker'!L125="","",SWITCH('Use Case Tracker'!L125,"Keep","Giữ trong scope","Could-have / Do after core","Có thể có / Làm sau core",'Use Case Tracker'!L125))</f>
        <v/>
      </c>
    </row>
    <row r="107">
      <c r="A107" s="42" t="str">
        <f>IF('Use Case Tracker'!A126="","",'Use Case Tracker'!A126)</f>
        <v/>
      </c>
      <c r="B107" s="42" t="str">
        <f>IFERROR(__xludf.DUMMYFUNCTION("IF('Use Case Tracker'!B126="""","""",IFERROR(GOOGLETRANSLATE('Use Case Tracker'!B126,""en"",""vi""),'Use Case Tracker'!B126))"),"")</f>
        <v/>
      </c>
      <c r="C107" s="42" t="str">
        <f>IFERROR(__xludf.DUMMYFUNCTION("IF('Use Case Tracker'!C126="""","""",IFERROR(GOOGLETRANSLATE('Use Case Tracker'!C126,""en"",""vi""),'Use Case Tracker'!C126))"),"")</f>
        <v/>
      </c>
      <c r="D107" s="42" t="str">
        <f>IFERROR(__xludf.DUMMYFUNCTION("IF('Use Case Tracker'!D126="""","""",IFERROR(GOOGLETRANSLATE('Use Case Tracker'!D126,""en"",""vi""),'Use Case Tracker'!D126))"),"")</f>
        <v/>
      </c>
      <c r="E107" s="42" t="str">
        <f>IFERROR(__xludf.DUMMYFUNCTION("IF('Use Case Tracker'!E126="""","""",IFERROR(GOOGLETRANSLATE('Use Case Tracker'!E126,""en"",""vi""),'Use Case Tracker'!E126))"),"")</f>
        <v/>
      </c>
      <c r="F107" s="42" t="str">
        <f>IFERROR(__xludf.DUMMYFUNCTION("IF('Use Case Tracker'!F126="""","""",IFERROR(GOOGLETRANSLATE('Use Case Tracker'!F126,""en"",""vi""),'Use Case Tracker'!F126))"),"")</f>
        <v/>
      </c>
      <c r="G107" s="42" t="str">
        <f>IF('Use Case Tracker'!G126="","",SWITCH('Use Case Tracker'!G126,"Must-have","Bắt buộc","Should-have","Nên có","Could-have","Có thể có",'Use Case Tracker'!G126))</f>
        <v/>
      </c>
      <c r="H107" s="42" t="str">
        <f>IF('Use Case Tracker'!H126="","",SWITCH('Use Case Tracker'!H126,"Not Started","Chưa bắt đầu","In Progress","Đang làm","Done","Hoàn thành",'Use Case Tracker'!H126))</f>
        <v/>
      </c>
      <c r="I107" s="42" t="str">
        <f>IF('Use Case Tracker'!I126="","",'Use Case Tracker'!I126)</f>
        <v/>
      </c>
      <c r="J107" s="42" t="str">
        <f>IF('Use Case Tracker'!J126="","",'Use Case Tracker'!J126)</f>
        <v/>
      </c>
      <c r="K107" s="42" t="str">
        <f>IFERROR(__xludf.DUMMYFUNCTION("IF('Use Case Tracker'!K126="""","""",IFERROR(GOOGLETRANSLATE('Use Case Tracker'!K126,""en"",""vi""),'Use Case Tracker'!K126))"),"")</f>
        <v/>
      </c>
      <c r="L107" s="42" t="str">
        <f>IF('Use Case Tracker'!L126="","",SWITCH('Use Case Tracker'!L126,"Keep","Giữ trong scope","Could-have / Do after core","Có thể có / Làm sau core",'Use Case Tracker'!L126))</f>
        <v/>
      </c>
    </row>
    <row r="108">
      <c r="A108" s="42" t="str">
        <f>IF('Use Case Tracker'!A127="","",'Use Case Tracker'!A127)</f>
        <v/>
      </c>
      <c r="B108" s="42" t="str">
        <f>IFERROR(__xludf.DUMMYFUNCTION("IF('Use Case Tracker'!B127="""","""",IFERROR(GOOGLETRANSLATE('Use Case Tracker'!B127,""en"",""vi""),'Use Case Tracker'!B127))"),"")</f>
        <v/>
      </c>
      <c r="C108" s="42" t="str">
        <f>IFERROR(__xludf.DUMMYFUNCTION("IF('Use Case Tracker'!C127="""","""",IFERROR(GOOGLETRANSLATE('Use Case Tracker'!C127,""en"",""vi""),'Use Case Tracker'!C127))"),"")</f>
        <v/>
      </c>
      <c r="D108" s="42" t="str">
        <f>IFERROR(__xludf.DUMMYFUNCTION("IF('Use Case Tracker'!D127="""","""",IFERROR(GOOGLETRANSLATE('Use Case Tracker'!D127,""en"",""vi""),'Use Case Tracker'!D127))"),"")</f>
        <v/>
      </c>
      <c r="E108" s="42" t="str">
        <f>IFERROR(__xludf.DUMMYFUNCTION("IF('Use Case Tracker'!E127="""","""",IFERROR(GOOGLETRANSLATE('Use Case Tracker'!E127,""en"",""vi""),'Use Case Tracker'!E127))"),"")</f>
        <v/>
      </c>
      <c r="F108" s="42" t="str">
        <f>IFERROR(__xludf.DUMMYFUNCTION("IF('Use Case Tracker'!F127="""","""",IFERROR(GOOGLETRANSLATE('Use Case Tracker'!F127,""en"",""vi""),'Use Case Tracker'!F127))"),"")</f>
        <v/>
      </c>
      <c r="G108" s="42" t="str">
        <f>IF('Use Case Tracker'!G127="","",SWITCH('Use Case Tracker'!G127,"Must-have","Bắt buộc","Should-have","Nên có","Could-have","Có thể có",'Use Case Tracker'!G127))</f>
        <v/>
      </c>
      <c r="H108" s="42" t="str">
        <f>IF('Use Case Tracker'!H127="","",SWITCH('Use Case Tracker'!H127,"Not Started","Chưa bắt đầu","In Progress","Đang làm","Done","Hoàn thành",'Use Case Tracker'!H127))</f>
        <v/>
      </c>
      <c r="I108" s="42" t="str">
        <f>IF('Use Case Tracker'!I127="","",'Use Case Tracker'!I127)</f>
        <v/>
      </c>
      <c r="J108" s="42" t="str">
        <f>IF('Use Case Tracker'!J127="","",'Use Case Tracker'!J127)</f>
        <v/>
      </c>
      <c r="K108" s="42" t="str">
        <f>IFERROR(__xludf.DUMMYFUNCTION("IF('Use Case Tracker'!K127="""","""",IFERROR(GOOGLETRANSLATE('Use Case Tracker'!K127,""en"",""vi""),'Use Case Tracker'!K127))"),"")</f>
        <v/>
      </c>
      <c r="L108" s="42" t="str">
        <f>IF('Use Case Tracker'!L127="","",SWITCH('Use Case Tracker'!L127,"Keep","Giữ trong scope","Could-have / Do after core","Có thể có / Làm sau core",'Use Case Tracker'!L127))</f>
        <v/>
      </c>
    </row>
    <row r="109">
      <c r="A109" s="42" t="str">
        <f>IF('Use Case Tracker'!A128="","",'Use Case Tracker'!A128)</f>
        <v/>
      </c>
      <c r="B109" s="42" t="str">
        <f>IFERROR(__xludf.DUMMYFUNCTION("IF('Use Case Tracker'!B128="""","""",IFERROR(GOOGLETRANSLATE('Use Case Tracker'!B128,""en"",""vi""),'Use Case Tracker'!B128))"),"")</f>
        <v/>
      </c>
      <c r="C109" s="42" t="str">
        <f>IFERROR(__xludf.DUMMYFUNCTION("IF('Use Case Tracker'!C128="""","""",IFERROR(GOOGLETRANSLATE('Use Case Tracker'!C128,""en"",""vi""),'Use Case Tracker'!C128))"),"")</f>
        <v/>
      </c>
      <c r="D109" s="42" t="str">
        <f>IFERROR(__xludf.DUMMYFUNCTION("IF('Use Case Tracker'!D128="""","""",IFERROR(GOOGLETRANSLATE('Use Case Tracker'!D128,""en"",""vi""),'Use Case Tracker'!D128))"),"")</f>
        <v/>
      </c>
      <c r="E109" s="42" t="str">
        <f>IFERROR(__xludf.DUMMYFUNCTION("IF('Use Case Tracker'!E128="""","""",IFERROR(GOOGLETRANSLATE('Use Case Tracker'!E128,""en"",""vi""),'Use Case Tracker'!E128))"),"")</f>
        <v/>
      </c>
      <c r="F109" s="42" t="str">
        <f>IFERROR(__xludf.DUMMYFUNCTION("IF('Use Case Tracker'!F128="""","""",IFERROR(GOOGLETRANSLATE('Use Case Tracker'!F128,""en"",""vi""),'Use Case Tracker'!F128))"),"")</f>
        <v/>
      </c>
      <c r="G109" s="42" t="str">
        <f>IF('Use Case Tracker'!G128="","",SWITCH('Use Case Tracker'!G128,"Must-have","Bắt buộc","Should-have","Nên có","Could-have","Có thể có",'Use Case Tracker'!G128))</f>
        <v/>
      </c>
      <c r="H109" s="42" t="str">
        <f>IF('Use Case Tracker'!H128="","",SWITCH('Use Case Tracker'!H128,"Not Started","Chưa bắt đầu","In Progress","Đang làm","Done","Hoàn thành",'Use Case Tracker'!H128))</f>
        <v/>
      </c>
      <c r="I109" s="42" t="str">
        <f>IF('Use Case Tracker'!I128="","",'Use Case Tracker'!I128)</f>
        <v/>
      </c>
      <c r="J109" s="42" t="str">
        <f>IF('Use Case Tracker'!J128="","",'Use Case Tracker'!J128)</f>
        <v/>
      </c>
      <c r="K109" s="42" t="str">
        <f>IFERROR(__xludf.DUMMYFUNCTION("IF('Use Case Tracker'!K128="""","""",IFERROR(GOOGLETRANSLATE('Use Case Tracker'!K128,""en"",""vi""),'Use Case Tracker'!K128))"),"")</f>
        <v/>
      </c>
      <c r="L109" s="42" t="str">
        <f>IF('Use Case Tracker'!L128="","",SWITCH('Use Case Tracker'!L128,"Keep","Giữ trong scope","Could-have / Do after core","Có thể có / Làm sau core",'Use Case Tracker'!L128))</f>
        <v/>
      </c>
    </row>
    <row r="110">
      <c r="A110" s="42" t="str">
        <f>IF('Use Case Tracker'!A129="","",'Use Case Tracker'!A129)</f>
        <v/>
      </c>
      <c r="B110" s="42" t="str">
        <f>IFERROR(__xludf.DUMMYFUNCTION("IF('Use Case Tracker'!B129="""","""",IFERROR(GOOGLETRANSLATE('Use Case Tracker'!B129,""en"",""vi""),'Use Case Tracker'!B129))"),"")</f>
        <v/>
      </c>
      <c r="C110" s="42" t="str">
        <f>IFERROR(__xludf.DUMMYFUNCTION("IF('Use Case Tracker'!C129="""","""",IFERROR(GOOGLETRANSLATE('Use Case Tracker'!C129,""en"",""vi""),'Use Case Tracker'!C129))"),"")</f>
        <v/>
      </c>
      <c r="D110" s="42" t="str">
        <f>IFERROR(__xludf.DUMMYFUNCTION("IF('Use Case Tracker'!D129="""","""",IFERROR(GOOGLETRANSLATE('Use Case Tracker'!D129,""en"",""vi""),'Use Case Tracker'!D129))"),"")</f>
        <v/>
      </c>
      <c r="E110" s="42" t="str">
        <f>IFERROR(__xludf.DUMMYFUNCTION("IF('Use Case Tracker'!E129="""","""",IFERROR(GOOGLETRANSLATE('Use Case Tracker'!E129,""en"",""vi""),'Use Case Tracker'!E129))"),"")</f>
        <v/>
      </c>
      <c r="F110" s="42" t="str">
        <f>IFERROR(__xludf.DUMMYFUNCTION("IF('Use Case Tracker'!F129="""","""",IFERROR(GOOGLETRANSLATE('Use Case Tracker'!F129,""en"",""vi""),'Use Case Tracker'!F129))"),"")</f>
        <v/>
      </c>
      <c r="G110" s="42" t="str">
        <f>IF('Use Case Tracker'!G129="","",SWITCH('Use Case Tracker'!G129,"Must-have","Bắt buộc","Should-have","Nên có","Could-have","Có thể có",'Use Case Tracker'!G129))</f>
        <v/>
      </c>
      <c r="H110" s="42" t="str">
        <f>IF('Use Case Tracker'!H129="","",SWITCH('Use Case Tracker'!H129,"Not Started","Chưa bắt đầu","In Progress","Đang làm","Done","Hoàn thành",'Use Case Tracker'!H129))</f>
        <v/>
      </c>
      <c r="I110" s="42" t="str">
        <f>IF('Use Case Tracker'!I129="","",'Use Case Tracker'!I129)</f>
        <v/>
      </c>
      <c r="J110" s="42" t="str">
        <f>IF('Use Case Tracker'!J129="","",'Use Case Tracker'!J129)</f>
        <v/>
      </c>
      <c r="K110" s="42" t="str">
        <f>IFERROR(__xludf.DUMMYFUNCTION("IF('Use Case Tracker'!K129="""","""",IFERROR(GOOGLETRANSLATE('Use Case Tracker'!K129,""en"",""vi""),'Use Case Tracker'!K129))"),"")</f>
        <v/>
      </c>
      <c r="L110" s="42" t="str">
        <f>IF('Use Case Tracker'!L129="","",SWITCH('Use Case Tracker'!L129,"Keep","Giữ trong scope","Could-have / Do after core","Có thể có / Làm sau core",'Use Case Tracker'!L129))</f>
        <v/>
      </c>
    </row>
    <row r="111">
      <c r="A111" s="42" t="str">
        <f>IF('Use Case Tracker'!A130="","",'Use Case Tracker'!A130)</f>
        <v/>
      </c>
      <c r="B111" s="42" t="str">
        <f>IFERROR(__xludf.DUMMYFUNCTION("IF('Use Case Tracker'!B130="""","""",IFERROR(GOOGLETRANSLATE('Use Case Tracker'!B130,""en"",""vi""),'Use Case Tracker'!B130))"),"")</f>
        <v/>
      </c>
      <c r="C111" s="42" t="str">
        <f>IFERROR(__xludf.DUMMYFUNCTION("IF('Use Case Tracker'!C130="""","""",IFERROR(GOOGLETRANSLATE('Use Case Tracker'!C130,""en"",""vi""),'Use Case Tracker'!C130))"),"")</f>
        <v/>
      </c>
      <c r="D111" s="42" t="str">
        <f>IFERROR(__xludf.DUMMYFUNCTION("IF('Use Case Tracker'!D130="""","""",IFERROR(GOOGLETRANSLATE('Use Case Tracker'!D130,""en"",""vi""),'Use Case Tracker'!D130))"),"")</f>
        <v/>
      </c>
      <c r="E111" s="42" t="str">
        <f>IFERROR(__xludf.DUMMYFUNCTION("IF('Use Case Tracker'!E130="""","""",IFERROR(GOOGLETRANSLATE('Use Case Tracker'!E130,""en"",""vi""),'Use Case Tracker'!E130))"),"")</f>
        <v/>
      </c>
      <c r="F111" s="42" t="str">
        <f>IFERROR(__xludf.DUMMYFUNCTION("IF('Use Case Tracker'!F130="""","""",IFERROR(GOOGLETRANSLATE('Use Case Tracker'!F130,""en"",""vi""),'Use Case Tracker'!F130))"),"")</f>
        <v/>
      </c>
      <c r="G111" s="42" t="str">
        <f>IF('Use Case Tracker'!G130="","",SWITCH('Use Case Tracker'!G130,"Must-have","Bắt buộc","Should-have","Nên có","Could-have","Có thể có",'Use Case Tracker'!G130))</f>
        <v/>
      </c>
      <c r="H111" s="42" t="str">
        <f>IF('Use Case Tracker'!H130="","",SWITCH('Use Case Tracker'!H130,"Not Started","Chưa bắt đầu","In Progress","Đang làm","Done","Hoàn thành",'Use Case Tracker'!H130))</f>
        <v/>
      </c>
      <c r="I111" s="42" t="str">
        <f>IF('Use Case Tracker'!I130="","",'Use Case Tracker'!I130)</f>
        <v/>
      </c>
      <c r="J111" s="42" t="str">
        <f>IF('Use Case Tracker'!J130="","",'Use Case Tracker'!J130)</f>
        <v/>
      </c>
      <c r="K111" s="42" t="str">
        <f>IFERROR(__xludf.DUMMYFUNCTION("IF('Use Case Tracker'!K130="""","""",IFERROR(GOOGLETRANSLATE('Use Case Tracker'!K130,""en"",""vi""),'Use Case Tracker'!K130))"),"")</f>
        <v/>
      </c>
      <c r="L111" s="42" t="str">
        <f>IF('Use Case Tracker'!L130="","",SWITCH('Use Case Tracker'!L130,"Keep","Giữ trong scope","Could-have / Do after core","Có thể có / Làm sau core",'Use Case Tracker'!L130))</f>
        <v/>
      </c>
    </row>
    <row r="112">
      <c r="A112" s="42" t="str">
        <f>IF('Use Case Tracker'!A131="","",'Use Case Tracker'!A131)</f>
        <v/>
      </c>
      <c r="B112" s="42" t="str">
        <f>IFERROR(__xludf.DUMMYFUNCTION("IF('Use Case Tracker'!B131="""","""",IFERROR(GOOGLETRANSLATE('Use Case Tracker'!B131,""en"",""vi""),'Use Case Tracker'!B131))"),"")</f>
        <v/>
      </c>
      <c r="C112" s="42" t="str">
        <f>IFERROR(__xludf.DUMMYFUNCTION("IF('Use Case Tracker'!C131="""","""",IFERROR(GOOGLETRANSLATE('Use Case Tracker'!C131,""en"",""vi""),'Use Case Tracker'!C131))"),"")</f>
        <v/>
      </c>
      <c r="D112" s="42" t="str">
        <f>IFERROR(__xludf.DUMMYFUNCTION("IF('Use Case Tracker'!D131="""","""",IFERROR(GOOGLETRANSLATE('Use Case Tracker'!D131,""en"",""vi""),'Use Case Tracker'!D131))"),"")</f>
        <v/>
      </c>
      <c r="E112" s="42" t="str">
        <f>IFERROR(__xludf.DUMMYFUNCTION("IF('Use Case Tracker'!E131="""","""",IFERROR(GOOGLETRANSLATE('Use Case Tracker'!E131,""en"",""vi""),'Use Case Tracker'!E131))"),"")</f>
        <v/>
      </c>
      <c r="F112" s="42" t="str">
        <f>IFERROR(__xludf.DUMMYFUNCTION("IF('Use Case Tracker'!F131="""","""",IFERROR(GOOGLETRANSLATE('Use Case Tracker'!F131,""en"",""vi""),'Use Case Tracker'!F131))"),"")</f>
        <v/>
      </c>
      <c r="G112" s="42" t="str">
        <f>IF('Use Case Tracker'!G131="","",SWITCH('Use Case Tracker'!G131,"Must-have","Bắt buộc","Should-have","Nên có","Could-have","Có thể có",'Use Case Tracker'!G131))</f>
        <v/>
      </c>
      <c r="H112" s="42" t="str">
        <f>IF('Use Case Tracker'!H131="","",SWITCH('Use Case Tracker'!H131,"Not Started","Chưa bắt đầu","In Progress","Đang làm","Done","Hoàn thành",'Use Case Tracker'!H131))</f>
        <v/>
      </c>
      <c r="I112" s="42" t="str">
        <f>IF('Use Case Tracker'!I131="","",'Use Case Tracker'!I131)</f>
        <v/>
      </c>
      <c r="J112" s="42" t="str">
        <f>IF('Use Case Tracker'!J131="","",'Use Case Tracker'!J131)</f>
        <v/>
      </c>
      <c r="K112" s="42" t="str">
        <f>IFERROR(__xludf.DUMMYFUNCTION("IF('Use Case Tracker'!K131="""","""",IFERROR(GOOGLETRANSLATE('Use Case Tracker'!K131,""en"",""vi""),'Use Case Tracker'!K131))"),"")</f>
        <v/>
      </c>
      <c r="L112" s="42" t="str">
        <f>IF('Use Case Tracker'!L131="","",SWITCH('Use Case Tracker'!L131,"Keep","Giữ trong scope","Could-have / Do after core","Có thể có / Làm sau core",'Use Case Tracker'!L131))</f>
        <v/>
      </c>
    </row>
    <row r="113">
      <c r="A113" s="42" t="str">
        <f>IF('Use Case Tracker'!A132="","",'Use Case Tracker'!A132)</f>
        <v/>
      </c>
      <c r="B113" s="42" t="str">
        <f>IFERROR(__xludf.DUMMYFUNCTION("IF('Use Case Tracker'!B132="""","""",IFERROR(GOOGLETRANSLATE('Use Case Tracker'!B132,""en"",""vi""),'Use Case Tracker'!B132))"),"")</f>
        <v/>
      </c>
      <c r="C113" s="42" t="str">
        <f>IFERROR(__xludf.DUMMYFUNCTION("IF('Use Case Tracker'!C132="""","""",IFERROR(GOOGLETRANSLATE('Use Case Tracker'!C132,""en"",""vi""),'Use Case Tracker'!C132))"),"")</f>
        <v/>
      </c>
      <c r="D113" s="42" t="str">
        <f>IFERROR(__xludf.DUMMYFUNCTION("IF('Use Case Tracker'!D132="""","""",IFERROR(GOOGLETRANSLATE('Use Case Tracker'!D132,""en"",""vi""),'Use Case Tracker'!D132))"),"")</f>
        <v/>
      </c>
      <c r="E113" s="42" t="str">
        <f>IFERROR(__xludf.DUMMYFUNCTION("IF('Use Case Tracker'!E132="""","""",IFERROR(GOOGLETRANSLATE('Use Case Tracker'!E132,""en"",""vi""),'Use Case Tracker'!E132))"),"")</f>
        <v/>
      </c>
      <c r="F113" s="42" t="str">
        <f>IFERROR(__xludf.DUMMYFUNCTION("IF('Use Case Tracker'!F132="""","""",IFERROR(GOOGLETRANSLATE('Use Case Tracker'!F132,""en"",""vi""),'Use Case Tracker'!F132))"),"")</f>
        <v/>
      </c>
      <c r="G113" s="42" t="str">
        <f>IF('Use Case Tracker'!G132="","",SWITCH('Use Case Tracker'!G132,"Must-have","Bắt buộc","Should-have","Nên có","Could-have","Có thể có",'Use Case Tracker'!G132))</f>
        <v/>
      </c>
      <c r="H113" s="42" t="str">
        <f>IF('Use Case Tracker'!H132="","",SWITCH('Use Case Tracker'!H132,"Not Started","Chưa bắt đầu","In Progress","Đang làm","Done","Hoàn thành",'Use Case Tracker'!H132))</f>
        <v/>
      </c>
      <c r="I113" s="42" t="str">
        <f>IF('Use Case Tracker'!I132="","",'Use Case Tracker'!I132)</f>
        <v/>
      </c>
      <c r="J113" s="42" t="str">
        <f>IF('Use Case Tracker'!J132="","",'Use Case Tracker'!J132)</f>
        <v/>
      </c>
      <c r="K113" s="42" t="str">
        <f>IFERROR(__xludf.DUMMYFUNCTION("IF('Use Case Tracker'!K132="""","""",IFERROR(GOOGLETRANSLATE('Use Case Tracker'!K132,""en"",""vi""),'Use Case Tracker'!K132))"),"")</f>
        <v/>
      </c>
      <c r="L113" s="42" t="str">
        <f>IF('Use Case Tracker'!L132="","",SWITCH('Use Case Tracker'!L132,"Keep","Giữ trong scope","Could-have / Do after core","Có thể có / Làm sau core",'Use Case Tracker'!L132))</f>
        <v/>
      </c>
    </row>
    <row r="114">
      <c r="A114" s="42" t="str">
        <f>IF('Use Case Tracker'!A133="","",'Use Case Tracker'!A133)</f>
        <v/>
      </c>
      <c r="B114" s="42" t="str">
        <f>IFERROR(__xludf.DUMMYFUNCTION("IF('Use Case Tracker'!B133="""","""",IFERROR(GOOGLETRANSLATE('Use Case Tracker'!B133,""en"",""vi""),'Use Case Tracker'!B133))"),"")</f>
        <v/>
      </c>
      <c r="C114" s="42" t="str">
        <f>IFERROR(__xludf.DUMMYFUNCTION("IF('Use Case Tracker'!C133="""","""",IFERROR(GOOGLETRANSLATE('Use Case Tracker'!C133,""en"",""vi""),'Use Case Tracker'!C133))"),"")</f>
        <v/>
      </c>
      <c r="D114" s="42" t="str">
        <f>IFERROR(__xludf.DUMMYFUNCTION("IF('Use Case Tracker'!D133="""","""",IFERROR(GOOGLETRANSLATE('Use Case Tracker'!D133,""en"",""vi""),'Use Case Tracker'!D133))"),"")</f>
        <v/>
      </c>
      <c r="E114" s="42" t="str">
        <f>IFERROR(__xludf.DUMMYFUNCTION("IF('Use Case Tracker'!E133="""","""",IFERROR(GOOGLETRANSLATE('Use Case Tracker'!E133,""en"",""vi""),'Use Case Tracker'!E133))"),"")</f>
        <v/>
      </c>
      <c r="F114" s="42" t="str">
        <f>IFERROR(__xludf.DUMMYFUNCTION("IF('Use Case Tracker'!F133="""","""",IFERROR(GOOGLETRANSLATE('Use Case Tracker'!F133,""en"",""vi""),'Use Case Tracker'!F133))"),"")</f>
        <v/>
      </c>
      <c r="G114" s="42" t="str">
        <f>IF('Use Case Tracker'!G133="","",SWITCH('Use Case Tracker'!G133,"Must-have","Bắt buộc","Should-have","Nên có","Could-have","Có thể có",'Use Case Tracker'!G133))</f>
        <v/>
      </c>
      <c r="H114" s="42" t="str">
        <f>IF('Use Case Tracker'!H133="","",SWITCH('Use Case Tracker'!H133,"Not Started","Chưa bắt đầu","In Progress","Đang làm","Done","Hoàn thành",'Use Case Tracker'!H133))</f>
        <v/>
      </c>
      <c r="I114" s="42" t="str">
        <f>IF('Use Case Tracker'!I133="","",'Use Case Tracker'!I133)</f>
        <v/>
      </c>
      <c r="J114" s="42" t="str">
        <f>IF('Use Case Tracker'!J133="","",'Use Case Tracker'!J133)</f>
        <v/>
      </c>
      <c r="K114" s="42" t="str">
        <f>IFERROR(__xludf.DUMMYFUNCTION("IF('Use Case Tracker'!K133="""","""",IFERROR(GOOGLETRANSLATE('Use Case Tracker'!K133,""en"",""vi""),'Use Case Tracker'!K133))"),"")</f>
        <v/>
      </c>
      <c r="L114" s="42" t="str">
        <f>IF('Use Case Tracker'!L133="","",SWITCH('Use Case Tracker'!L133,"Keep","Giữ trong scope","Could-have / Do after core","Có thể có / Làm sau core",'Use Case Tracker'!L133))</f>
        <v/>
      </c>
    </row>
    <row r="115">
      <c r="A115" s="42" t="str">
        <f>IF('Use Case Tracker'!A134="","",'Use Case Tracker'!A134)</f>
        <v/>
      </c>
      <c r="B115" s="42" t="str">
        <f>IFERROR(__xludf.DUMMYFUNCTION("IF('Use Case Tracker'!B134="""","""",IFERROR(GOOGLETRANSLATE('Use Case Tracker'!B134,""en"",""vi""),'Use Case Tracker'!B134))"),"")</f>
        <v/>
      </c>
      <c r="C115" s="42" t="str">
        <f>IFERROR(__xludf.DUMMYFUNCTION("IF('Use Case Tracker'!C134="""","""",IFERROR(GOOGLETRANSLATE('Use Case Tracker'!C134,""en"",""vi""),'Use Case Tracker'!C134))"),"")</f>
        <v/>
      </c>
      <c r="D115" s="42" t="str">
        <f>IFERROR(__xludf.DUMMYFUNCTION("IF('Use Case Tracker'!D134="""","""",IFERROR(GOOGLETRANSLATE('Use Case Tracker'!D134,""en"",""vi""),'Use Case Tracker'!D134))"),"")</f>
        <v/>
      </c>
      <c r="E115" s="42" t="str">
        <f>IFERROR(__xludf.DUMMYFUNCTION("IF('Use Case Tracker'!E134="""","""",IFERROR(GOOGLETRANSLATE('Use Case Tracker'!E134,""en"",""vi""),'Use Case Tracker'!E134))"),"")</f>
        <v/>
      </c>
      <c r="F115" s="42" t="str">
        <f>IFERROR(__xludf.DUMMYFUNCTION("IF('Use Case Tracker'!F134="""","""",IFERROR(GOOGLETRANSLATE('Use Case Tracker'!F134,""en"",""vi""),'Use Case Tracker'!F134))"),"")</f>
        <v/>
      </c>
      <c r="G115" s="42" t="str">
        <f>IF('Use Case Tracker'!G134="","",SWITCH('Use Case Tracker'!G134,"Must-have","Bắt buộc","Should-have","Nên có","Could-have","Có thể có",'Use Case Tracker'!G134))</f>
        <v/>
      </c>
      <c r="H115" s="42" t="str">
        <f>IF('Use Case Tracker'!H134="","",SWITCH('Use Case Tracker'!H134,"Not Started","Chưa bắt đầu","In Progress","Đang làm","Done","Hoàn thành",'Use Case Tracker'!H134))</f>
        <v/>
      </c>
      <c r="I115" s="42" t="str">
        <f>IF('Use Case Tracker'!I134="","",'Use Case Tracker'!I134)</f>
        <v/>
      </c>
      <c r="J115" s="42" t="str">
        <f>IF('Use Case Tracker'!J134="","",'Use Case Tracker'!J134)</f>
        <v/>
      </c>
      <c r="K115" s="42" t="str">
        <f>IFERROR(__xludf.DUMMYFUNCTION("IF('Use Case Tracker'!K134="""","""",IFERROR(GOOGLETRANSLATE('Use Case Tracker'!K134,""en"",""vi""),'Use Case Tracker'!K134))"),"")</f>
        <v/>
      </c>
      <c r="L115" s="42" t="str">
        <f>IF('Use Case Tracker'!L134="","",SWITCH('Use Case Tracker'!L134,"Keep","Giữ trong scope","Could-have / Do after core","Có thể có / Làm sau core",'Use Case Tracker'!L134))</f>
        <v/>
      </c>
    </row>
    <row r="116">
      <c r="A116" s="42" t="str">
        <f>IF('Use Case Tracker'!A135="","",'Use Case Tracker'!A135)</f>
        <v/>
      </c>
      <c r="B116" s="42" t="str">
        <f>IFERROR(__xludf.DUMMYFUNCTION("IF('Use Case Tracker'!B135="""","""",IFERROR(GOOGLETRANSLATE('Use Case Tracker'!B135,""en"",""vi""),'Use Case Tracker'!B135))"),"")</f>
        <v/>
      </c>
      <c r="C116" s="42" t="str">
        <f>IFERROR(__xludf.DUMMYFUNCTION("IF('Use Case Tracker'!C135="""","""",IFERROR(GOOGLETRANSLATE('Use Case Tracker'!C135,""en"",""vi""),'Use Case Tracker'!C135))"),"")</f>
        <v/>
      </c>
      <c r="D116" s="42" t="str">
        <f>IFERROR(__xludf.DUMMYFUNCTION("IF('Use Case Tracker'!D135="""","""",IFERROR(GOOGLETRANSLATE('Use Case Tracker'!D135,""en"",""vi""),'Use Case Tracker'!D135))"),"")</f>
        <v/>
      </c>
      <c r="E116" s="42" t="str">
        <f>IFERROR(__xludf.DUMMYFUNCTION("IF('Use Case Tracker'!E135="""","""",IFERROR(GOOGLETRANSLATE('Use Case Tracker'!E135,""en"",""vi""),'Use Case Tracker'!E135))"),"")</f>
        <v/>
      </c>
      <c r="F116" s="42" t="str">
        <f>IFERROR(__xludf.DUMMYFUNCTION("IF('Use Case Tracker'!F135="""","""",IFERROR(GOOGLETRANSLATE('Use Case Tracker'!F135,""en"",""vi""),'Use Case Tracker'!F135))"),"")</f>
        <v/>
      </c>
      <c r="G116" s="42" t="str">
        <f>IF('Use Case Tracker'!G135="","",SWITCH('Use Case Tracker'!G135,"Must-have","Bắt buộc","Should-have","Nên có","Could-have","Có thể có",'Use Case Tracker'!G135))</f>
        <v/>
      </c>
      <c r="H116" s="42" t="str">
        <f>IF('Use Case Tracker'!H135="","",SWITCH('Use Case Tracker'!H135,"Not Started","Chưa bắt đầu","In Progress","Đang làm","Done","Hoàn thành",'Use Case Tracker'!H135))</f>
        <v/>
      </c>
      <c r="I116" s="42" t="str">
        <f>IF('Use Case Tracker'!I135="","",'Use Case Tracker'!I135)</f>
        <v/>
      </c>
      <c r="J116" s="42" t="str">
        <f>IF('Use Case Tracker'!J135="","",'Use Case Tracker'!J135)</f>
        <v/>
      </c>
      <c r="K116" s="42" t="str">
        <f>IFERROR(__xludf.DUMMYFUNCTION("IF('Use Case Tracker'!K135="""","""",IFERROR(GOOGLETRANSLATE('Use Case Tracker'!K135,""en"",""vi""),'Use Case Tracker'!K135))"),"")</f>
        <v/>
      </c>
      <c r="L116" s="42" t="str">
        <f>IF('Use Case Tracker'!L135="","",SWITCH('Use Case Tracker'!L135,"Keep","Giữ trong scope","Could-have / Do after core","Có thể có / Làm sau core",'Use Case Tracker'!L135))</f>
        <v/>
      </c>
    </row>
    <row r="117">
      <c r="A117" s="42" t="str">
        <f>IF('Use Case Tracker'!A136="","",'Use Case Tracker'!A136)</f>
        <v/>
      </c>
      <c r="B117" s="42" t="str">
        <f>IFERROR(__xludf.DUMMYFUNCTION("IF('Use Case Tracker'!B136="""","""",IFERROR(GOOGLETRANSLATE('Use Case Tracker'!B136,""en"",""vi""),'Use Case Tracker'!B136))"),"")</f>
        <v/>
      </c>
      <c r="C117" s="42" t="str">
        <f>IFERROR(__xludf.DUMMYFUNCTION("IF('Use Case Tracker'!C136="""","""",IFERROR(GOOGLETRANSLATE('Use Case Tracker'!C136,""en"",""vi""),'Use Case Tracker'!C136))"),"")</f>
        <v/>
      </c>
      <c r="D117" s="42" t="str">
        <f>IFERROR(__xludf.DUMMYFUNCTION("IF('Use Case Tracker'!D136="""","""",IFERROR(GOOGLETRANSLATE('Use Case Tracker'!D136,""en"",""vi""),'Use Case Tracker'!D136))"),"")</f>
        <v/>
      </c>
      <c r="E117" s="42" t="str">
        <f>IFERROR(__xludf.DUMMYFUNCTION("IF('Use Case Tracker'!E136="""","""",IFERROR(GOOGLETRANSLATE('Use Case Tracker'!E136,""en"",""vi""),'Use Case Tracker'!E136))"),"")</f>
        <v/>
      </c>
      <c r="F117" s="42" t="str">
        <f>IFERROR(__xludf.DUMMYFUNCTION("IF('Use Case Tracker'!F136="""","""",IFERROR(GOOGLETRANSLATE('Use Case Tracker'!F136,""en"",""vi""),'Use Case Tracker'!F136))"),"")</f>
        <v/>
      </c>
      <c r="G117" s="42" t="str">
        <f>IF('Use Case Tracker'!G136="","",SWITCH('Use Case Tracker'!G136,"Must-have","Bắt buộc","Should-have","Nên có","Could-have","Có thể có",'Use Case Tracker'!G136))</f>
        <v/>
      </c>
      <c r="H117" s="42" t="str">
        <f>IF('Use Case Tracker'!H136="","",SWITCH('Use Case Tracker'!H136,"Not Started","Chưa bắt đầu","In Progress","Đang làm","Done","Hoàn thành",'Use Case Tracker'!H136))</f>
        <v/>
      </c>
      <c r="I117" s="42" t="str">
        <f>IF('Use Case Tracker'!I136="","",'Use Case Tracker'!I136)</f>
        <v/>
      </c>
      <c r="J117" s="42" t="str">
        <f>IF('Use Case Tracker'!J136="","",'Use Case Tracker'!J136)</f>
        <v/>
      </c>
      <c r="K117" s="42" t="str">
        <f>IFERROR(__xludf.DUMMYFUNCTION("IF('Use Case Tracker'!K136="""","""",IFERROR(GOOGLETRANSLATE('Use Case Tracker'!K136,""en"",""vi""),'Use Case Tracker'!K136))"),"")</f>
        <v/>
      </c>
      <c r="L117" s="42" t="str">
        <f>IF('Use Case Tracker'!L136="","",SWITCH('Use Case Tracker'!L136,"Keep","Giữ trong scope","Could-have / Do after core","Có thể có / Làm sau core",'Use Case Tracker'!L136))</f>
        <v/>
      </c>
    </row>
    <row r="118">
      <c r="A118" s="42" t="str">
        <f>IF('Use Case Tracker'!A137="","",'Use Case Tracker'!A137)</f>
        <v/>
      </c>
      <c r="B118" s="42" t="str">
        <f>IFERROR(__xludf.DUMMYFUNCTION("IF('Use Case Tracker'!B137="""","""",IFERROR(GOOGLETRANSLATE('Use Case Tracker'!B137,""en"",""vi""),'Use Case Tracker'!B137))"),"")</f>
        <v/>
      </c>
      <c r="C118" s="42" t="str">
        <f>IFERROR(__xludf.DUMMYFUNCTION("IF('Use Case Tracker'!C137="""","""",IFERROR(GOOGLETRANSLATE('Use Case Tracker'!C137,""en"",""vi""),'Use Case Tracker'!C137))"),"")</f>
        <v/>
      </c>
      <c r="D118" s="42" t="str">
        <f>IFERROR(__xludf.DUMMYFUNCTION("IF('Use Case Tracker'!D137="""","""",IFERROR(GOOGLETRANSLATE('Use Case Tracker'!D137,""en"",""vi""),'Use Case Tracker'!D137))"),"")</f>
        <v/>
      </c>
      <c r="E118" s="42" t="str">
        <f>IFERROR(__xludf.DUMMYFUNCTION("IF('Use Case Tracker'!E137="""","""",IFERROR(GOOGLETRANSLATE('Use Case Tracker'!E137,""en"",""vi""),'Use Case Tracker'!E137))"),"")</f>
        <v/>
      </c>
      <c r="F118" s="42" t="str">
        <f>IFERROR(__xludf.DUMMYFUNCTION("IF('Use Case Tracker'!F137="""","""",IFERROR(GOOGLETRANSLATE('Use Case Tracker'!F137,""en"",""vi""),'Use Case Tracker'!F137))"),"")</f>
        <v/>
      </c>
      <c r="G118" s="42" t="str">
        <f>IF('Use Case Tracker'!G137="","",SWITCH('Use Case Tracker'!G137,"Must-have","Bắt buộc","Should-have","Nên có","Could-have","Có thể có",'Use Case Tracker'!G137))</f>
        <v/>
      </c>
      <c r="H118" s="42" t="str">
        <f>IF('Use Case Tracker'!H137="","",SWITCH('Use Case Tracker'!H137,"Not Started","Chưa bắt đầu","In Progress","Đang làm","Done","Hoàn thành",'Use Case Tracker'!H137))</f>
        <v/>
      </c>
      <c r="I118" s="42" t="str">
        <f>IF('Use Case Tracker'!I137="","",'Use Case Tracker'!I137)</f>
        <v/>
      </c>
      <c r="J118" s="42" t="str">
        <f>IF('Use Case Tracker'!J137="","",'Use Case Tracker'!J137)</f>
        <v/>
      </c>
      <c r="K118" s="42" t="str">
        <f>IFERROR(__xludf.DUMMYFUNCTION("IF('Use Case Tracker'!K137="""","""",IFERROR(GOOGLETRANSLATE('Use Case Tracker'!K137,""en"",""vi""),'Use Case Tracker'!K137))"),"")</f>
        <v/>
      </c>
      <c r="L118" s="42" t="str">
        <f>IF('Use Case Tracker'!L137="","",SWITCH('Use Case Tracker'!L137,"Keep","Giữ trong scope","Could-have / Do after core","Có thể có / Làm sau core",'Use Case Tracker'!L137))</f>
        <v/>
      </c>
    </row>
    <row r="119">
      <c r="A119" s="42" t="str">
        <f>IF('Use Case Tracker'!A138="","",'Use Case Tracker'!A138)</f>
        <v/>
      </c>
      <c r="B119" s="42" t="str">
        <f>IFERROR(__xludf.DUMMYFUNCTION("IF('Use Case Tracker'!B138="""","""",IFERROR(GOOGLETRANSLATE('Use Case Tracker'!B138,""en"",""vi""),'Use Case Tracker'!B138))"),"")</f>
        <v/>
      </c>
      <c r="C119" s="42" t="str">
        <f>IFERROR(__xludf.DUMMYFUNCTION("IF('Use Case Tracker'!C138="""","""",IFERROR(GOOGLETRANSLATE('Use Case Tracker'!C138,""en"",""vi""),'Use Case Tracker'!C138))"),"")</f>
        <v/>
      </c>
      <c r="D119" s="42" t="str">
        <f>IFERROR(__xludf.DUMMYFUNCTION("IF('Use Case Tracker'!D138="""","""",IFERROR(GOOGLETRANSLATE('Use Case Tracker'!D138,""en"",""vi""),'Use Case Tracker'!D138))"),"")</f>
        <v/>
      </c>
      <c r="E119" s="42" t="str">
        <f>IFERROR(__xludf.DUMMYFUNCTION("IF('Use Case Tracker'!E138="""","""",IFERROR(GOOGLETRANSLATE('Use Case Tracker'!E138,""en"",""vi""),'Use Case Tracker'!E138))"),"")</f>
        <v/>
      </c>
      <c r="F119" s="42" t="str">
        <f>IFERROR(__xludf.DUMMYFUNCTION("IF('Use Case Tracker'!F138="""","""",IFERROR(GOOGLETRANSLATE('Use Case Tracker'!F138,""en"",""vi""),'Use Case Tracker'!F138))"),"")</f>
        <v/>
      </c>
      <c r="G119" s="42" t="str">
        <f>IF('Use Case Tracker'!G138="","",SWITCH('Use Case Tracker'!G138,"Must-have","Bắt buộc","Should-have","Nên có","Could-have","Có thể có",'Use Case Tracker'!G138))</f>
        <v/>
      </c>
      <c r="H119" s="42" t="str">
        <f>IF('Use Case Tracker'!H138="","",SWITCH('Use Case Tracker'!H138,"Not Started","Chưa bắt đầu","In Progress","Đang làm","Done","Hoàn thành",'Use Case Tracker'!H138))</f>
        <v/>
      </c>
      <c r="I119" s="42" t="str">
        <f>IF('Use Case Tracker'!I138="","",'Use Case Tracker'!I138)</f>
        <v/>
      </c>
      <c r="J119" s="42" t="str">
        <f>IF('Use Case Tracker'!J138="","",'Use Case Tracker'!J138)</f>
        <v/>
      </c>
      <c r="K119" s="42" t="str">
        <f>IFERROR(__xludf.DUMMYFUNCTION("IF('Use Case Tracker'!K138="""","""",IFERROR(GOOGLETRANSLATE('Use Case Tracker'!K138,""en"",""vi""),'Use Case Tracker'!K138))"),"")</f>
        <v/>
      </c>
      <c r="L119" s="42" t="str">
        <f>IF('Use Case Tracker'!L138="","",SWITCH('Use Case Tracker'!L138,"Keep","Giữ trong scope","Could-have / Do after core","Có thể có / Làm sau core",'Use Case Tracker'!L138))</f>
        <v/>
      </c>
    </row>
    <row r="120">
      <c r="A120" s="42" t="str">
        <f>IF('Use Case Tracker'!A139="","",'Use Case Tracker'!A139)</f>
        <v/>
      </c>
      <c r="B120" s="42" t="str">
        <f>IFERROR(__xludf.DUMMYFUNCTION("IF('Use Case Tracker'!B139="""","""",IFERROR(GOOGLETRANSLATE('Use Case Tracker'!B139,""en"",""vi""),'Use Case Tracker'!B139))"),"")</f>
        <v/>
      </c>
      <c r="C120" s="42" t="str">
        <f>IFERROR(__xludf.DUMMYFUNCTION("IF('Use Case Tracker'!C139="""","""",IFERROR(GOOGLETRANSLATE('Use Case Tracker'!C139,""en"",""vi""),'Use Case Tracker'!C139))"),"")</f>
        <v/>
      </c>
      <c r="D120" s="42" t="str">
        <f>IFERROR(__xludf.DUMMYFUNCTION("IF('Use Case Tracker'!D139="""","""",IFERROR(GOOGLETRANSLATE('Use Case Tracker'!D139,""en"",""vi""),'Use Case Tracker'!D139))"),"")</f>
        <v/>
      </c>
      <c r="E120" s="42" t="str">
        <f>IFERROR(__xludf.DUMMYFUNCTION("IF('Use Case Tracker'!E139="""","""",IFERROR(GOOGLETRANSLATE('Use Case Tracker'!E139,""en"",""vi""),'Use Case Tracker'!E139))"),"")</f>
        <v/>
      </c>
      <c r="F120" s="42" t="str">
        <f>IFERROR(__xludf.DUMMYFUNCTION("IF('Use Case Tracker'!F139="""","""",IFERROR(GOOGLETRANSLATE('Use Case Tracker'!F139,""en"",""vi""),'Use Case Tracker'!F139))"),"")</f>
        <v/>
      </c>
      <c r="G120" s="42" t="str">
        <f>IF('Use Case Tracker'!G139="","",SWITCH('Use Case Tracker'!G139,"Must-have","Bắt buộc","Should-have","Nên có","Could-have","Có thể có",'Use Case Tracker'!G139))</f>
        <v/>
      </c>
      <c r="H120" s="42" t="str">
        <f>IF('Use Case Tracker'!H139="","",SWITCH('Use Case Tracker'!H139,"Not Started","Chưa bắt đầu","In Progress","Đang làm","Done","Hoàn thành",'Use Case Tracker'!H139))</f>
        <v/>
      </c>
      <c r="I120" s="42" t="str">
        <f>IF('Use Case Tracker'!I139="","",'Use Case Tracker'!I139)</f>
        <v/>
      </c>
      <c r="J120" s="42" t="str">
        <f>IF('Use Case Tracker'!J139="","",'Use Case Tracker'!J139)</f>
        <v/>
      </c>
      <c r="K120" s="42" t="str">
        <f>IFERROR(__xludf.DUMMYFUNCTION("IF('Use Case Tracker'!K139="""","""",IFERROR(GOOGLETRANSLATE('Use Case Tracker'!K139,""en"",""vi""),'Use Case Tracker'!K139))"),"")</f>
        <v/>
      </c>
      <c r="L120" s="42" t="str">
        <f>IF('Use Case Tracker'!L139="","",SWITCH('Use Case Tracker'!L139,"Keep","Giữ trong scope","Could-have / Do after core","Có thể có / Làm sau core",'Use Case Tracker'!L139))</f>
        <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8C3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4" max="4" width="37.63"/>
    <col customWidth="1" min="6" max="6" width="34.75"/>
    <col customWidth="1" min="7" max="7" width="27.0"/>
    <col customWidth="1" min="10" max="10" width="37.63"/>
  </cols>
  <sheetData>
    <row r="1" ht="22.5" customHeight="1">
      <c r="A1" s="39" t="s">
        <v>1777</v>
      </c>
      <c r="B1" s="39" t="s">
        <v>1778</v>
      </c>
      <c r="C1" s="39" t="s">
        <v>1779</v>
      </c>
      <c r="D1" s="39" t="s">
        <v>1780</v>
      </c>
      <c r="E1" s="39" t="s">
        <v>1781</v>
      </c>
      <c r="F1" s="39" t="s">
        <v>1768</v>
      </c>
      <c r="G1" s="39" t="s">
        <v>1782</v>
      </c>
      <c r="H1" s="39" t="s">
        <v>1770</v>
      </c>
      <c r="I1" s="39" t="s">
        <v>1772</v>
      </c>
      <c r="J1" s="39" t="s">
        <v>1783</v>
      </c>
    </row>
    <row r="2" ht="22.5" customHeight="1">
      <c r="A2" s="41" t="s">
        <v>504</v>
      </c>
      <c r="B2" s="41" t="s">
        <v>1784</v>
      </c>
      <c r="C2" s="41" t="s">
        <v>1622</v>
      </c>
      <c r="D2" s="41" t="s">
        <v>1785</v>
      </c>
      <c r="E2" s="41" t="s">
        <v>508</v>
      </c>
      <c r="F2" s="41" t="s">
        <v>1786</v>
      </c>
      <c r="G2" s="41" t="s">
        <v>1787</v>
      </c>
      <c r="H2" s="41" t="s">
        <v>1616</v>
      </c>
      <c r="I2" s="41" t="s">
        <v>511</v>
      </c>
      <c r="J2" s="41" t="s">
        <v>1788</v>
      </c>
    </row>
    <row r="3" ht="22.5" customHeight="1">
      <c r="A3" s="40" t="str">
        <f>IF('Main Core Flow Mapping'!A3="","",'Main Core Flow Mapping'!A3)</f>
        <v>F2</v>
      </c>
      <c r="B3" s="40" t="str">
        <f>IFERROR(__xludf.DUMMYFUNCTION("IF('Main Core Flow Mapping'!B3="""","""",IFERROR(GOOGLETRANSLATE('Main Core Flow Mapping'!B3,""en"",""vi""),'Main Core Flow Mapping'!B3))"),"Quản lý thành viên, mối quan hệ và quyền được ủy quyền")</f>
        <v>Quản lý thành viên, mối quan hệ và quyền được ủy quyền</v>
      </c>
      <c r="C3" s="40" t="str">
        <f>IF('Main Core Flow Mapping'!C3="","",SWITCH('Main Core Flow Mapping'!C3,"Core","Luồng chính","Supporting","Luồng hỗ trợ",'Main Core Flow Mapping'!C3))</f>
        <v>Luồng chính</v>
      </c>
      <c r="D3" s="40" t="str">
        <f>IFERROR(__xludf.DUMMYFUNCTION("IF('Main Core Flow Mapping'!D3="""","""",IFERROR(GOOGLETRANSLATE('Main Core Flow Mapping'!D3,""en"",""vi""),'Main Core Flow Mapping'!D3))"),"Quản lý lời mời, thành viên không gian làm việc, mối quan hệ gia đình, trạng thái thành viên và quyền ủy quyền cho người đại diện trong một Không gian làm việc gia đình duy nhất.")</f>
        <v>Quản lý lời mời, thành viên không gian làm việc, mối quan hệ gia đình, trạng thái thành viên và quyền ủy quyền cho người đại diện trong một Không gian làm việc gia đình duy nhất.</v>
      </c>
      <c r="E3" s="40" t="str">
        <f>IF('Main Core Flow Mapping'!E3="","",'Main Core Flow Mapping'!E3)</f>
        <v>UC13-UC20</v>
      </c>
      <c r="F3" s="40" t="str">
        <f>IFERROR(__xludf.DUMMYFUNCTION("IF('Main Core Flow Mapping'!F3="""","""",IFERROR(GOOGLETRANSLATE('Main Core Flow Mapping'!F3,""en"",""vi""),'Main Core Flow Mapping'!F3))"),"Quản lý gia đình / Người dùng được mời")</f>
        <v>Quản lý gia đình / Người dùng được mời</v>
      </c>
      <c r="G3" s="40" t="str">
        <f>IFERROR(__xludf.DUMMYFUNCTION("IF('Main Core Flow Mapping'!G3="""","""",IFERROR(GOOGLETRANSLATE('Main Core Flow Mapping'!G3,""en"",""vi""),'Main Core Flow Mapping'!G3))"),"Gia đình, Thành viên, Sự cho phép")</f>
        <v>Gia đình, Thành viên, Sự cho phép</v>
      </c>
      <c r="H3" s="40" t="str">
        <f>IF('Main Core Flow Mapping'!H3="","",SWITCH('Main Core Flow Mapping'!H3,"Must-have","Bắt buộc","Should-have","Nên có","Could-have","Có thể có",'Main Core Flow Mapping'!H3))</f>
        <v>Bắt buộc</v>
      </c>
      <c r="I3" s="40" t="str">
        <f>IF('Main Core Flow Mapping'!I3="","",'Main Core Flow Mapping'!I3)</f>
        <v>Nhật</v>
      </c>
      <c r="J3" s="40" t="str">
        <f>IFERROR(__xludf.DUMMYFUNCTION("IF('Main Core Flow Mapping'!J3="""","""",IFERROR(GOOGLETRANSLATE('Main Core Flow Mapping'!J3,""en"",""vi""),'Main Core Flow Mapping'!J3))"),"Mời thành viên -&gt; người dùng tham gia không gian làm việc -&gt; người quản lý cập nhật mối quan hệ/vai trò -&gt; cấp hoặc thu hồi quyền được ủy quyền -&gt; xem hoặc vô hiệu hóa thành viên.")</f>
        <v>Mời thành viên -&gt; người dùng tham gia không gian làm việc -&gt; người quản lý cập nhật mối quan hệ/vai trò -&gt; cấp hoặc thu hồi quyền được ủy quyền -&gt; xem hoặc vô hiệu hóa thành viên.</v>
      </c>
    </row>
    <row r="4" ht="22.5" customHeight="1">
      <c r="A4" s="40" t="str">
        <f>IF('Main Core Flow Mapping'!A4="","",'Main Core Flow Mapping'!A4)</f>
        <v>F3</v>
      </c>
      <c r="B4" s="40" t="str">
        <f>IFERROR(__xludf.DUMMYFUNCTION("IF('Main Core Flow Mapping'!B4="""","""",IFERROR(GOOGLETRANSLATE('Main Core Flow Mapping'!B4,""en"",""vi""),'Main Core Flow Mapping'!B4))"),"Lập kế hoạch tài chính gia đình, sổ quỹ và ngân sách dựa trên mục tiêu.")</f>
        <v>Lập kế hoạch tài chính gia đình, sổ quỹ và ngân sách dựa trên mục tiêu.</v>
      </c>
      <c r="C4" s="40" t="str">
        <f>IF('Main Core Flow Mapping'!C4="","",SWITCH('Main Core Flow Mapping'!C4,"Core","Luồng chính","Supporting","Luồng hỗ trợ",'Main Core Flow Mapping'!C4))</f>
        <v>Luồng chính</v>
      </c>
      <c r="D4" s="40" t="str">
        <f>IFERROR(__xludf.DUMMYFUNCTION("IF('Main Core Flow Mapping'!D4="""","""",IFERROR(GOOGLETRANSLATE('Main Core Flow Mapping'!D4,""en"",""vi""),'Main Core Flow Mapping'!D4))"),"Quản lý hồ sơ thu nhập/chi tiêu gia đình, mô hình tài chính, quỹ tiết kiệm, chi tiêu thiết yếu/không thiết yếu, mục tiêu tài chính gia đình, báo cáo so sánh kế hoạch và thực tế, cảnh báo rủi ro ngân sách/mục tiêu và phân bổ phần thưởng mà không cần giữ ti"&amp;"ền thật của người dùng.")</f>
        <v>Quản lý hồ sơ thu nhập/chi tiêu gia đình, mô hình tài chính, quỹ tiết kiệm, chi tiêu thiết yếu/không thiết yếu, mục tiêu tài chính gia đình, báo cáo so sánh kế hoạch và thực tế, cảnh báo rủi ro ngân sách/mục tiêu và phân bổ phần thưởng mà không cần giữ tiền thật của người dùng.</v>
      </c>
      <c r="E4" s="40" t="str">
        <f>IF('Main Core Flow Mapping'!E4="","",'Main Core Flow Mapping'!E4)</f>
        <v>UC21-UC36; UC82-UC91</v>
      </c>
      <c r="F4" s="40" t="str">
        <f>IFERROR(__xludf.DUMMYFUNCTION("IF('Main Core Flow Mapping'!F4="""","""",IFERROR(GOOGLETRANSLATE('Main Core Flow Mapping'!F4,""en"",""vi""),'Main Core Flow Mapping'!F4))"),"Người quản lý gia đình / Thành viên gia đình")</f>
        <v>Người quản lý gia đình / Thành viên gia đình</v>
      </c>
      <c r="G4" s="40" t="str">
        <f>IFERROR(__xludf.DUMMYFUNCTION("IF('Main Core Flow Mapping'!G4="""","""",IFERROR(GOOGLETRANSLATE('Main Core Flow Mapping'!G4,""en"",""vi""),'Main Core Flow Mapping'!G4))"),"Tài chính, Sổ quỹ gia đình, Lập ngân sách theo mục tiêu, Trí tuệ nhân tạo (AI)")</f>
        <v>Tài chính, Sổ quỹ gia đình, Lập ngân sách theo mục tiêu, Trí tuệ nhân tạo (AI)</v>
      </c>
      <c r="H4" s="40" t="str">
        <f>IF('Main Core Flow Mapping'!H4="","",SWITCH('Main Core Flow Mapping'!H4,"Must-have","Bắt buộc","Should-have","Nên có","Could-have","Có thể có",'Main Core Flow Mapping'!H4))</f>
        <v>Bắt buộc</v>
      </c>
      <c r="I4" s="40" t="str">
        <f>IF('Main Core Flow Mapping'!I4="","",'Main Core Flow Mapping'!I4)</f>
        <v/>
      </c>
      <c r="J4" s="40" t="str">
        <f>IFERROR(__xludf.DUMMYFUNCTION("IF('Main Core Flow Mapping'!J4="""","""",IFERROR(GOOGLETRANSLATE('Main Core Flow Mapping'!J4,""en"",""vi""),'Main Core Flow Mapping'!J4))"),"Chọn mô hình -&gt; cấu hình các hũ -&gt; ghi lại/phân loại giao dịch -&gt; tạo mục tiêu -&gt; theo dõi tiến độ -&gt; xem cảnh báo rủi ro -&gt; phân bổ phần thưởng cho hũ/mục tiêu -&gt; đề xuất tùy chọn bằng AI/OCR.")</f>
        <v>Chọn mô hình -&gt; cấu hình các hũ -&gt; ghi lại/phân loại giao dịch -&gt; tạo mục tiêu -&gt; theo dõi tiến độ -&gt; xem cảnh báo rủi ro -&gt; phân bổ phần thưởng cho hũ/mục tiêu -&gt; đề xuất tùy chọn bằng AI/OCR.</v>
      </c>
    </row>
    <row r="5" ht="22.5" customHeight="1">
      <c r="A5" s="40" t="str">
        <f>IF('Main Core Flow Mapping'!A5="","",'Main Core Flow Mapping'!A5)</f>
        <v>F4</v>
      </c>
      <c r="B5" s="40" t="str">
        <f>IFERROR(__xludf.DUMMYFUNCTION("IF('Main Core Flow Mapping'!B5="""","""",IFERROR(GOOGLETRANSLATE('Main Core Flow Mapping'!B5,""en"",""vi""),'Main Core Flow Mapping'!B5))"),"Điều phối công việc nhà và quản lý việc phân chia phần thưởng")</f>
        <v>Điều phối công việc nhà và quản lý việc phân chia phần thưởng</v>
      </c>
      <c r="C5" s="40" t="str">
        <f>IF('Main Core Flow Mapping'!C5="","",SWITCH('Main Core Flow Mapping'!C5,"Core","Luồng chính","Supporting","Luồng hỗ trợ",'Main Core Flow Mapping'!C5))</f>
        <v>Luồng chính</v>
      </c>
      <c r="D5" s="40" t="str">
        <f>IFERROR(__xludf.DUMMYFUNCTION("IF('Main Core Flow Mapping'!D5="""","""",IFERROR(GOOGLETRANSLATE('Main Core Flow Mapping'!D5,""en"",""vi""),'Main Core Flow Mapping'!D5))"),"Tạo, phân công, hoàn thành và phê duyệt các công việc nhà; sau đó tạo biên bản thanh toán phần thưởng, đánh dấu thanh toán bên ngoài, xác nhận thành viên đã nhận hoặc xử lý tranh chấp.")</f>
        <v>Tạo, phân công, hoàn thành và phê duyệt các công việc nhà; sau đó tạo biên bản thanh toán phần thưởng, đánh dấu thanh toán bên ngoài, xác nhận thành viên đã nhận hoặc xử lý tranh chấp.</v>
      </c>
      <c r="E5" s="40" t="str">
        <f>IF('Main Core Flow Mapping'!E5="","",'Main Core Flow Mapping'!E5)</f>
        <v>UC37-UC49</v>
      </c>
      <c r="F5" s="40" t="str">
        <f>IFERROR(__xludf.DUMMYFUNCTION("IF('Main Core Flow Mapping'!F5="""","""",IFERROR(GOOGLETRANSLATE('Main Core Flow Mapping'!F5,""en"",""vi""),'Main Core Flow Mapping'!F5))"),"Người quản lý gia đình / Thành viên gia đình")</f>
        <v>Người quản lý gia đình / Thành viên gia đình</v>
      </c>
      <c r="G5" s="40" t="str">
        <f>IFERROR(__xludf.DUMMYFUNCTION("IF('Main Core Flow Mapping'!G5="""","""",IFERROR(GOOGLETRANSLATE('Main Core Flow Mapping'!G5,""en"",""vi""),'Main Core Flow Mapping'!G5))"),"Nhiệm vụ, Thỏa thuận phần thưởng")</f>
        <v>Nhiệm vụ, Thỏa thuận phần thưởng</v>
      </c>
      <c r="H5" s="40" t="str">
        <f>IF('Main Core Flow Mapping'!H5="","",SWITCH('Main Core Flow Mapping'!H5,"Must-have","Bắt buộc","Should-have","Nên có","Could-have","Có thể có",'Main Core Flow Mapping'!H5))</f>
        <v>Bắt buộc</v>
      </c>
      <c r="I5" s="40" t="str">
        <f>IF('Main Core Flow Mapping'!I5="","",'Main Core Flow Mapping'!I5)</f>
        <v/>
      </c>
      <c r="J5" s="40" t="str">
        <f>IFERROR(__xludf.DUMMYFUNCTION("IF('Main Core Flow Mapping'!J5="""","""",IFERROR(GOOGLETRANSLATE('Main Core Flow Mapping'!J5,""en"",""vi""),'Main Core Flow Mapping'!J5))"),"Tạo nhiệm vụ -&gt; Phân công -&gt; Nộp bằng chứng -&gt; Phê duyệt nhiệm vụ -&gt; Tạo yêu cầu thanh toán phần thưởng đang chờ xử lý -&gt; Quản lý đánh dấu yêu cầu thanh toán bên ngoài -&gt; Thành viên xác nhận đã nhận hoặc tranh chấp -&gt; Xem lịch sử.")</f>
        <v>Tạo nhiệm vụ -&gt; Phân công -&gt; Nộp bằng chứng -&gt; Phê duyệt nhiệm vụ -&gt; Tạo yêu cầu thanh toán phần thưởng đang chờ xử lý -&gt; Quản lý đánh dấu yêu cầu thanh toán bên ngoài -&gt; Thành viên xác nhận đã nhận hoặc tranh chấp -&gt; Xem lịch sử.</v>
      </c>
    </row>
    <row r="6" ht="22.5" customHeight="1">
      <c r="A6" s="40" t="str">
        <f>IF('Main Core Flow Mapping'!A7="","",'Main Core Flow Mapping'!A7)</f>
        <v>SF4</v>
      </c>
      <c r="B6" s="40" t="str">
        <f>IFERROR(__xludf.DUMMYFUNCTION("IF('Main Core Flow Mapping'!B7="""","""",IFERROR(GOOGLETRANSLATE('Main Core Flow Mapping'!B7,""en"",""vi""),'Main Core Flow Mapping'!B7))"),"Chia sẻ vị trí gia đình và theo dõi thành viên")</f>
        <v>Chia sẻ vị trí gia đình và theo dõi thành viên</v>
      </c>
      <c r="C6" s="40" t="str">
        <f>IF('Main Core Flow Mapping'!C7="","",SWITCH('Main Core Flow Mapping'!C7,"Core","Luồng chính","Supporting","Luồng hỗ trợ",'Main Core Flow Mapping'!C7))</f>
        <v>Luồng hỗ trợ</v>
      </c>
      <c r="D6" s="40" t="str">
        <f>IFERROR(__xludf.DUMMYFUNCTION("IF('Main Core Flow Mapping'!D7="""","""",IFERROR(GOOGLETRANSLATE('Main Core Flow Mapping'!D7,""en"",""vi""),'Main Core Flow Mapping'!D7))"),"Cho phép các thành viên lựa chọn bật/tắt chia sẻ vị trí thông thường, ghi lại các điểm vị trí thường xuyên từ thiết bị di động/thiết bị đeo được và cho phép các thành viên gia đình được ủy quyền xem lịch sử vị trí mới nhất/cơ bản mà không lẫn với lộ trình"&amp;" SOS.")</f>
        <v>Cho phép các thành viên lựa chọn bật/tắt chia sẻ vị trí thông thường, ghi lại các điểm vị trí thường xuyên từ thiết bị di động/thiết bị đeo được và cho phép các thành viên gia đình được ủy quyền xem lịch sử vị trí mới nhất/cơ bản mà không lẫn với lộ trình SOS.</v>
      </c>
      <c r="E6" s="40" t="str">
        <f>IF('Main Core Flow Mapping'!E7="","",'Main Core Flow Mapping'!E7)</f>
        <v>UC79-UC81</v>
      </c>
      <c r="F6" s="40" t="str">
        <f>IFERROR(__xludf.DUMMYFUNCTION("IF('Main Core Flow Mapping'!F7="""","""",IFERROR(GOOGLETRANSLATE('Main Core Flow Mapping'!F7,""en"",""vi""),'Main Core Flow Mapping'!F7))"),"Thành viên gia đình / Thành viên gia đình được ủy quyền")</f>
        <v>Thành viên gia đình / Thành viên gia đình được ủy quyền</v>
      </c>
      <c r="G6" s="40" t="str">
        <f>IFERROR(__xludf.DUMMYFUNCTION("IF('Main Core Flow Mapping'!G7="""","""",IFERROR(GOOGLETRANSLATE('Main Core Flow Mapping'!G7,""en"",""vi""),'Main Core Flow Mapping'!G7))"),"Địa điểm, Gia đình, Thiết bị đeo được")</f>
        <v>Địa điểm, Gia đình, Thiết bị đeo được</v>
      </c>
      <c r="H6" s="40" t="str">
        <f>IF('Main Core Flow Mapping'!H7="","",SWITCH('Main Core Flow Mapping'!H7,"Must-have","Bắt buộc","Should-have","Nên có","Could-have","Có thể có",'Main Core Flow Mapping'!H7))</f>
        <v>Nên có</v>
      </c>
      <c r="I6" s="40" t="str">
        <f>IF('Main Core Flow Mapping'!I7="","",'Main Core Flow Mapping'!I7)</f>
        <v/>
      </c>
      <c r="J6" s="40" t="str">
        <f>IFERROR(__xludf.DUMMYFUNCTION("IF('Main Core Flow Mapping'!J7="""","""",IFERROR(GOOGLETRANSLATE('Main Core Flow Mapping'!J7,""en"",""vi""),'Main Core Flow Mapping'!J7))"),"Bật chia sẻ -&gt; ứng dụng/thiết bị gửi điểm vị trí -&gt; người xem được ủy quyền mở bản đồ gia đình -&gt; hệ thống trả về vị trí/lịch sử mới nhất. Theo dõi thông thường sử dụng MemberLocationPoint; tuyến đường SOS đang hoạt động sử dụng SOSLocationPoint.")</f>
        <v>Bật chia sẻ -&gt; ứng dụng/thiết bị gửi điểm vị trí -&gt; người xem được ủy quyền mở bản đồ gia đình -&gt; hệ thống trả về vị trí/lịch sử mới nhất. Theo dõi thông thường sử dụng MemberLocationPoint; tuyến đường SOS đang hoạt động sử dụng SOSLocationPoint.</v>
      </c>
    </row>
    <row r="7" ht="22.5" customHeight="1">
      <c r="A7" s="40" t="str">
        <f>IF('Main Core Flow Mapping'!A8="","",'Main Core Flow Mapping'!A8)</f>
        <v>SF1</v>
      </c>
      <c r="B7" s="40" t="str">
        <f>IFERROR(__xludf.DUMMYFUNCTION("IF('Main Core Flow Mapping'!B8="""","""",IFERROR(GOOGLETRANSLATE('Main Core Flow Mapping'!B8,""en"",""vi""),'Main Core Flow Mapping'!B8))"),"Giao tiếp gia đình, lịch và album")</f>
        <v>Giao tiếp gia đình, lịch và album</v>
      </c>
      <c r="C7" s="40" t="str">
        <f>IF('Main Core Flow Mapping'!C8="","",SWITCH('Main Core Flow Mapping'!C8,"Core","Luồng chính","Supporting","Luồng hỗ trợ",'Main Core Flow Mapping'!C8))</f>
        <v>Luồng hỗ trợ</v>
      </c>
      <c r="D7" s="40" t="str">
        <f>IFERROR(__xludf.DUMMYFUNCTION("IF('Main Core Flow Mapping'!D8="""","""",IFERROR(GOOGLETRANSLATE('Main Core Flow Mapping'!D8,""en"",""vi""),'Main Core Flow Mapping'!D8))"),"Hỗ trợ sự phối hợp giữa các thành viên trong gia đình thông qua thông báo, trò chuyện cơ bản, thông báo chung, lịch, album chia sẻ và tùy chọn gắn thẻ thành viên.")</f>
        <v>Hỗ trợ sự phối hợp giữa các thành viên trong gia đình thông qua thông báo, trò chuyện cơ bản, thông báo chung, lịch, album chia sẻ và tùy chọn gắn thẻ thành viên.</v>
      </c>
      <c r="E7" s="40" t="str">
        <f>IF('Main Core Flow Mapping'!E8="","",'Main Core Flow Mapping'!E8)</f>
        <v>UC60-UC64; UC70-UC75</v>
      </c>
      <c r="F7" s="40" t="str">
        <f>IFERROR(__xludf.DUMMYFUNCTION("IF('Main Core Flow Mapping'!F8="""","""",IFERROR(GOOGLETRANSLATE('Main Core Flow Mapping'!F8,""en"",""vi""),'Main Core Flow Mapping'!F8))"),"Tất cả các thành viên trong gia đình")</f>
        <v>Tất cả các thành viên trong gia đình</v>
      </c>
      <c r="G7" s="40" t="str">
        <f>IFERROR(__xludf.DUMMYFUNCTION("IF('Main Core Flow Mapping'!G8="""","""",IFERROR(GOOGLETRANSLATE('Main Core Flow Mapping'!G8,""en"",""vi""),'Main Core Flow Mapping'!G8))"),"Giao tiếp, Lịch, Album")</f>
        <v>Giao tiếp, Lịch, Album</v>
      </c>
      <c r="H7" s="40" t="str">
        <f>IF('Main Core Flow Mapping'!H8="","",SWITCH('Main Core Flow Mapping'!H8,"Must-have","Bắt buộc","Should-have","Nên có","Could-have","Có thể có",'Main Core Flow Mapping'!H8))</f>
        <v>Có thể có</v>
      </c>
      <c r="I7" s="40" t="str">
        <f>IF('Main Core Flow Mapping'!I8="","",'Main Core Flow Mapping'!I8)</f>
        <v/>
      </c>
      <c r="J7" s="40" t="str">
        <f>IFERROR(__xludf.DUMMYFUNCTION("IF('Main Core Flow Mapping'!J8="""","""",IFERROR(GOOGLETRANSLATE('Main Core Flow Mapping'!J8,""en"",""vi""),'Main Core Flow Mapping'!J8))"),"Chỉ giữ lại những tính năng cơ bản; gắn thẻ album là tùy chọn; phân nhóm khuôn mặt không phải là tính năng cốt lõi của sản phẩm tối thiểu khả thi (MVP).")</f>
        <v>Chỉ giữ lại những tính năng cơ bản; gắn thẻ album là tùy chọn; phân nhóm khuôn mặt không phải là tính năng cốt lõi của sản phẩm tối thiểu khả thi (MVP).</v>
      </c>
    </row>
    <row r="8" ht="22.5" customHeight="1">
      <c r="A8" s="40" t="str">
        <f>IF('Main Core Flow Mapping'!A9="","",'Main Core Flow Mapping'!A9)</f>
        <v>SF2</v>
      </c>
      <c r="B8" s="40" t="str">
        <f>IFERROR(__xludf.DUMMYFUNCTION("IF('Main Core Flow Mapping'!B9="""","""",IFERROR(GOOGLETRANSLATE('Main Core Flow Mapping'!B9,""en"",""vi""),'Main Core Flow Mapping'!B9))"),"Hiểu biết về gia đình được hỗ trợ bởi trí tuệ nhân tạo")</f>
        <v>Hiểu biết về gia đình được hỗ trợ bởi trí tuệ nhân tạo</v>
      </c>
      <c r="C8" s="40" t="str">
        <f>IF('Main Core Flow Mapping'!C9="","",SWITCH('Main Core Flow Mapping'!C9,"Core","Luồng chính","Supporting","Luồng hỗ trợ",'Main Core Flow Mapping'!C9))</f>
        <v>Luồng hỗ trợ</v>
      </c>
      <c r="D8" s="40" t="str">
        <f>IFERROR(__xludf.DUMMYFUNCTION("IF('Main Core Flow Mapping'!D9="""","""",IFERROR(GOOGLETRANSLATE('Main Core Flow Mapping'!D9,""en"",""vi""),'Main Core Flow Mapping'!D9))"),"Cung cấp câu trả lời từ trợ lý AI, tóm tắt tài chính, tóm tắt nhiệm vụ và đề xuất ngân sách/tiết kiệm chỉ dựa trên dữ liệu mà người dùng hiện tại được phép xem.")</f>
        <v>Cung cấp câu trả lời từ trợ lý AI, tóm tắt tài chính, tóm tắt nhiệm vụ và đề xuất ngân sách/tiết kiệm chỉ dựa trên dữ liệu mà người dùng hiện tại được phép xem.</v>
      </c>
      <c r="E8" s="40" t="str">
        <f>IF('Main Core Flow Mapping'!E9="","",'Main Core Flow Mapping'!E9)</f>
        <v>UC65-UC68</v>
      </c>
      <c r="F8" s="40" t="str">
        <f>IFERROR(__xludf.DUMMYFUNCTION("IF('Main Core Flow Mapping'!F9="""","""",IFERROR(GOOGLETRANSLATE('Main Core Flow Mapping'!F9,""en"",""vi""),'Main Core Flow Mapping'!F9))"),"Tất cả các thành viên trong gia đình")</f>
        <v>Tất cả các thành viên trong gia đình</v>
      </c>
      <c r="G8" s="40" t="str">
        <f>IFERROR(__xludf.DUMMYFUNCTION("IF('Main Core Flow Mapping'!G9="""","""",IFERROR(GOOGLETRANSLATE('Main Core Flow Mapping'!G9,""en"",""vi""),'Main Core Flow Mapping'!G9))"),"Trí tuệ nhân tạo, Tài chính, Nhiệm vụ, Phần thưởng, Nhắc nhở")</f>
        <v>Trí tuệ nhân tạo, Tài chính, Nhiệm vụ, Phần thưởng, Nhắc nhở</v>
      </c>
      <c r="H8" s="40" t="str">
        <f>IF('Main Core Flow Mapping'!H9="","",SWITCH('Main Core Flow Mapping'!H9,"Must-have","Bắt buộc","Should-have","Nên có","Could-have","Có thể có",'Main Core Flow Mapping'!H9))</f>
        <v>Nên có</v>
      </c>
      <c r="I8" s="40" t="str">
        <f>IF('Main Core Flow Mapping'!I9="","",'Main Core Flow Mapping'!I9)</f>
        <v/>
      </c>
      <c r="J8" s="40" t="str">
        <f>IFERROR(__xludf.DUMMYFUNCTION("IF('Main Core Flow Mapping'!J9="""","""",IFERROR(GOOGLETRANSLATE('Main Core Flow Mapping'!J9,""en"",""vi""),'Main Core Flow Mapping'!J9))"),"Trí tuệ nhân tạo chỉ tóm tắt và đưa ra gợi ý; nó không tự động đưa ra quyết định hoặc cập nhật dữ liệu tài chính/nhiệm vụ/SOS.")</f>
        <v>Trí tuệ nhân tạo chỉ tóm tắt và đưa ra gợi ý; nó không tự động đưa ra quyết định hoặc cập nhật dữ liệu tài chính/nhiệm vụ/SOS.</v>
      </c>
    </row>
    <row r="9" ht="22.5" customHeight="1">
      <c r="A9" s="40" t="str">
        <f>IF('Main Core Flow Mapping'!A10="","",'Main Core Flow Mapping'!A10)</f>
        <v>SF3</v>
      </c>
      <c r="B9" s="40" t="str">
        <f>IFERROR(__xludf.DUMMYFUNCTION("IF('Main Core Flow Mapping'!B10="""","""",IFERROR(GOOGLETRANSLATE('Main Core Flow Mapping'!B10,""en"",""vi""),'Main Core Flow Mapping'!B10))"),"Quản lý gói đăng ký và quyền truy cập tính năng")</f>
        <v>Quản lý gói đăng ký và quyền truy cập tính năng</v>
      </c>
      <c r="C9" s="40" t="str">
        <f>IF('Main Core Flow Mapping'!C10="","",SWITCH('Main Core Flow Mapping'!C10,"Core","Luồng chính","Supporting","Luồng hỗ trợ",'Main Core Flow Mapping'!C10))</f>
        <v>Luồng hỗ trợ</v>
      </c>
      <c r="D9" s="40" t="str">
        <f>IFERROR(__xludf.DUMMYFUNCTION("IF('Main Core Flow Mapping'!D10="""","""",IFERROR(GOOGLETRANSLATE('Main Core Flow Mapping'!D10,""en"",""vi""),'Main Core Flow Mapping'!D10))"),"Xem gói cước, so sánh gói Miễn phí/Plus/Premium, nâng cấp/gia hạn gói đăng ký, xử lý gói hết hạn và kiểm soát quyền truy cập tính năng theo gói.")</f>
        <v>Xem gói cước, so sánh gói Miễn phí/Plus/Premium, nâng cấp/gia hạn gói đăng ký, xử lý gói hết hạn và kiểm soát quyền truy cập tính năng theo gói.</v>
      </c>
      <c r="E9" s="40" t="str">
        <f>IF('Main Core Flow Mapping'!E10="","",'Main Core Flow Mapping'!E10)</f>
        <v>UC76-UC78</v>
      </c>
      <c r="F9" s="40" t="str">
        <f>IFERROR(__xludf.DUMMYFUNCTION("IF('Main Core Flow Mapping'!F10="""","""",IFERROR(GOOGLETRANSLATE('Main Core Flow Mapping'!F10,""en"",""vi""),'Main Core Flow Mapping'!F10))"),"Quản lý/Hệ thống gia đình")</f>
        <v>Quản lý/Hệ thống gia đình</v>
      </c>
      <c r="G9" s="40" t="str">
        <f>IFERROR(__xludf.DUMMYFUNCTION("IF('Main Core Flow Mapping'!G10="""","""",IFERROR(GOOGLETRANSLATE('Main Core Flow Mapping'!G10,""en"",""vi""),'Main Core Flow Mapping'!G10))"),"Đăng ký, Thanh toán, Truy cập tính năng")</f>
        <v>Đăng ký, Thanh toán, Truy cập tính năng</v>
      </c>
      <c r="H9" s="40" t="str">
        <f>IF('Main Core Flow Mapping'!H10="","",SWITCH('Main Core Flow Mapping'!H10,"Must-have","Bắt buộc","Should-have","Nên có","Could-have","Có thể có",'Main Core Flow Mapping'!H10))</f>
        <v>Nên có</v>
      </c>
      <c r="I9" s="40" t="str">
        <f>IF('Main Core Flow Mapping'!I10="","",'Main Core Flow Mapping'!I10)</f>
        <v/>
      </c>
      <c r="J9" s="40" t="str">
        <f>IFERROR(__xludf.DUMMYFUNCTION("IF('Main Core Flow Mapping'!J10="""","""",IFERROR(GOOGLETRANSLATE('Main Core Flow Mapping'!J10,""en"",""vi""),'Main Core Flow Mapping'!J10))"),"Khoản thanh toán chỉ dành cho phí đăng ký, không bao gồm Sổ quỹ gia đình, tiền trợ cấp hoặc việc thanh toán tiền thưởng.")</f>
        <v>Khoản thanh toán chỉ dành cho phí đăng ký, không bao gồm Sổ quỹ gia đình, tiền trợ cấp hoặc việc thanh toán tiền thưởng.</v>
      </c>
    </row>
    <row r="10">
      <c r="A10" s="42" t="str">
        <f>IF('Main Core Flow Mapping'!A11="","",'Main Core Flow Mapping'!A11)</f>
        <v/>
      </c>
      <c r="B10" s="42" t="str">
        <f>IFERROR(__xludf.DUMMYFUNCTION("IF('Main Core Flow Mapping'!B11="""","""",IFERROR(GOOGLETRANSLATE('Main Core Flow Mapping'!B11,""en"",""vi""),'Main Core Flow Mapping'!B11))"),"")</f>
        <v/>
      </c>
      <c r="C10" s="42" t="str">
        <f>IF('Main Core Flow Mapping'!C11="","",SWITCH('Main Core Flow Mapping'!C11,"Core","Luồng chính","Supporting","Luồng hỗ trợ",'Main Core Flow Mapping'!C11))</f>
        <v/>
      </c>
      <c r="D10" s="42" t="str">
        <f>IFERROR(__xludf.DUMMYFUNCTION("IF('Main Core Flow Mapping'!D11="""","""",IFERROR(GOOGLETRANSLATE('Main Core Flow Mapping'!D11,""en"",""vi""),'Main Core Flow Mapping'!D11))"),"")</f>
        <v/>
      </c>
      <c r="E10" s="42" t="str">
        <f>IF('Main Core Flow Mapping'!E11="","",'Main Core Flow Mapping'!E11)</f>
        <v/>
      </c>
      <c r="F10" s="42" t="str">
        <f>IFERROR(__xludf.DUMMYFUNCTION("IF('Main Core Flow Mapping'!F11="""","""",IFERROR(GOOGLETRANSLATE('Main Core Flow Mapping'!F11,""en"",""vi""),'Main Core Flow Mapping'!F11))"),"")</f>
        <v/>
      </c>
      <c r="G10" s="42" t="str">
        <f>IFERROR(__xludf.DUMMYFUNCTION("IF('Main Core Flow Mapping'!G11="""","""",IFERROR(GOOGLETRANSLATE('Main Core Flow Mapping'!G11,""en"",""vi""),'Main Core Flow Mapping'!G11))"),"")</f>
        <v/>
      </c>
      <c r="H10" s="42" t="str">
        <f>IF('Main Core Flow Mapping'!H11="","",SWITCH('Main Core Flow Mapping'!H11,"Must-have","Bắt buộc","Should-have","Nên có","Could-have","Có thể có",'Main Core Flow Mapping'!H11))</f>
        <v/>
      </c>
      <c r="I10" s="42" t="str">
        <f>IF('Main Core Flow Mapping'!I11="","",'Main Core Flow Mapping'!I11)</f>
        <v/>
      </c>
      <c r="J10" s="42" t="str">
        <f>IFERROR(__xludf.DUMMYFUNCTION("IF('Main Core Flow Mapping'!J11="""","""",IFERROR(GOOGLETRANSLATE('Main Core Flow Mapping'!J11,""en"",""vi""),'Main Core Flow Mapping'!J11))"),"")</f>
        <v/>
      </c>
    </row>
    <row r="11">
      <c r="A11" s="42" t="str">
        <f>IF('Main Core Flow Mapping'!A12="","",'Main Core Flow Mapping'!A12)</f>
        <v/>
      </c>
      <c r="B11" s="42" t="str">
        <f>IFERROR(__xludf.DUMMYFUNCTION("IF('Main Core Flow Mapping'!B12="""","""",IFERROR(GOOGLETRANSLATE('Main Core Flow Mapping'!B12,""en"",""vi""),'Main Core Flow Mapping'!B12))"),"")</f>
        <v/>
      </c>
      <c r="C11" s="42" t="str">
        <f>IF('Main Core Flow Mapping'!C12="","",SWITCH('Main Core Flow Mapping'!C12,"Core","Luồng chính","Supporting","Luồng hỗ trợ",'Main Core Flow Mapping'!C12))</f>
        <v/>
      </c>
      <c r="D11" s="42" t="str">
        <f>IFERROR(__xludf.DUMMYFUNCTION("IF('Main Core Flow Mapping'!D12="""","""",IFERROR(GOOGLETRANSLATE('Main Core Flow Mapping'!D12,""en"",""vi""),'Main Core Flow Mapping'!D12))"),"")</f>
        <v/>
      </c>
      <c r="E11" s="42" t="str">
        <f>IF('Main Core Flow Mapping'!E12="","",'Main Core Flow Mapping'!E12)</f>
        <v/>
      </c>
      <c r="F11" s="42" t="str">
        <f>IFERROR(__xludf.DUMMYFUNCTION("IF('Main Core Flow Mapping'!F12="""","""",IFERROR(GOOGLETRANSLATE('Main Core Flow Mapping'!F12,""en"",""vi""),'Main Core Flow Mapping'!F12))"),"")</f>
        <v/>
      </c>
      <c r="G11" s="42" t="str">
        <f>IFERROR(__xludf.DUMMYFUNCTION("IF('Main Core Flow Mapping'!G12="""","""",IFERROR(GOOGLETRANSLATE('Main Core Flow Mapping'!G12,""en"",""vi""),'Main Core Flow Mapping'!G12))"),"")</f>
        <v/>
      </c>
      <c r="H11" s="42" t="str">
        <f>IF('Main Core Flow Mapping'!H12="","",SWITCH('Main Core Flow Mapping'!H12,"Must-have","Bắt buộc","Should-have","Nên có","Could-have","Có thể có",'Main Core Flow Mapping'!H12))</f>
        <v/>
      </c>
      <c r="I11" s="42" t="str">
        <f>IF('Main Core Flow Mapping'!I12="","",'Main Core Flow Mapping'!I12)</f>
        <v/>
      </c>
      <c r="J11" s="42" t="str">
        <f>IFERROR(__xludf.DUMMYFUNCTION("IF('Main Core Flow Mapping'!J12="""","""",IFERROR(GOOGLETRANSLATE('Main Core Flow Mapping'!J12,""en"",""vi""),'Main Core Flow Mapping'!J12))"),"")</f>
        <v/>
      </c>
    </row>
    <row r="12">
      <c r="A12" s="42" t="str">
        <f>IF('Main Core Flow Mapping'!A13="","",'Main Core Flow Mapping'!A13)</f>
        <v/>
      </c>
      <c r="B12" s="42" t="str">
        <f>IFERROR(__xludf.DUMMYFUNCTION("IF('Main Core Flow Mapping'!B13="""","""",IFERROR(GOOGLETRANSLATE('Main Core Flow Mapping'!B13,""en"",""vi""),'Main Core Flow Mapping'!B13))"),"")</f>
        <v/>
      </c>
      <c r="C12" s="42" t="str">
        <f>IF('Main Core Flow Mapping'!C13="","",SWITCH('Main Core Flow Mapping'!C13,"Core","Luồng chính","Supporting","Luồng hỗ trợ",'Main Core Flow Mapping'!C13))</f>
        <v/>
      </c>
      <c r="D12" s="42" t="str">
        <f>IFERROR(__xludf.DUMMYFUNCTION("IF('Main Core Flow Mapping'!D13="""","""",IFERROR(GOOGLETRANSLATE('Main Core Flow Mapping'!D13,""en"",""vi""),'Main Core Flow Mapping'!D13))"),"")</f>
        <v/>
      </c>
      <c r="E12" s="42" t="str">
        <f>IF('Main Core Flow Mapping'!E13="","",'Main Core Flow Mapping'!E13)</f>
        <v/>
      </c>
      <c r="F12" s="42" t="str">
        <f>IFERROR(__xludf.DUMMYFUNCTION("IF('Main Core Flow Mapping'!F13="""","""",IFERROR(GOOGLETRANSLATE('Main Core Flow Mapping'!F13,""en"",""vi""),'Main Core Flow Mapping'!F13))"),"")</f>
        <v/>
      </c>
      <c r="G12" s="42" t="str">
        <f>IFERROR(__xludf.DUMMYFUNCTION("IF('Main Core Flow Mapping'!G13="""","""",IFERROR(GOOGLETRANSLATE('Main Core Flow Mapping'!G13,""en"",""vi""),'Main Core Flow Mapping'!G13))"),"")</f>
        <v/>
      </c>
      <c r="H12" s="42" t="str">
        <f>IF('Main Core Flow Mapping'!H13="","",SWITCH('Main Core Flow Mapping'!H13,"Must-have","Bắt buộc","Should-have","Nên có","Could-have","Có thể có",'Main Core Flow Mapping'!H13))</f>
        <v/>
      </c>
      <c r="I12" s="42" t="str">
        <f>IF('Main Core Flow Mapping'!I13="","",'Main Core Flow Mapping'!I13)</f>
        <v/>
      </c>
      <c r="J12" s="42" t="str">
        <f>IFERROR(__xludf.DUMMYFUNCTION("IF('Main Core Flow Mapping'!J13="""","""",IFERROR(GOOGLETRANSLATE('Main Core Flow Mapping'!J13,""en"",""vi""),'Main Core Flow Mapping'!J13))"),"")</f>
        <v/>
      </c>
    </row>
    <row r="13">
      <c r="A13" s="42" t="str">
        <f>IF('Main Core Flow Mapping'!A14="","",'Main Core Flow Mapping'!A14)</f>
        <v/>
      </c>
      <c r="B13" s="42" t="str">
        <f>IFERROR(__xludf.DUMMYFUNCTION("IF('Main Core Flow Mapping'!B14="""","""",IFERROR(GOOGLETRANSLATE('Main Core Flow Mapping'!B14,""en"",""vi""),'Main Core Flow Mapping'!B14))"),"")</f>
        <v/>
      </c>
      <c r="C13" s="42" t="str">
        <f>IF('Main Core Flow Mapping'!C14="","",SWITCH('Main Core Flow Mapping'!C14,"Core","Luồng chính","Supporting","Luồng hỗ trợ",'Main Core Flow Mapping'!C14))</f>
        <v/>
      </c>
      <c r="D13" s="42" t="str">
        <f>IFERROR(__xludf.DUMMYFUNCTION("IF('Main Core Flow Mapping'!D14="""","""",IFERROR(GOOGLETRANSLATE('Main Core Flow Mapping'!D14,""en"",""vi""),'Main Core Flow Mapping'!D14))"),"")</f>
        <v/>
      </c>
      <c r="E13" s="42" t="str">
        <f>IF('Main Core Flow Mapping'!E14="","",'Main Core Flow Mapping'!E14)</f>
        <v/>
      </c>
      <c r="F13" s="42" t="str">
        <f>IFERROR(__xludf.DUMMYFUNCTION("IF('Main Core Flow Mapping'!F14="""","""",IFERROR(GOOGLETRANSLATE('Main Core Flow Mapping'!F14,""en"",""vi""),'Main Core Flow Mapping'!F14))"),"")</f>
        <v/>
      </c>
      <c r="G13" s="42" t="str">
        <f>IFERROR(__xludf.DUMMYFUNCTION("IF('Main Core Flow Mapping'!G14="""","""",IFERROR(GOOGLETRANSLATE('Main Core Flow Mapping'!G14,""en"",""vi""),'Main Core Flow Mapping'!G14))"),"")</f>
        <v/>
      </c>
      <c r="H13" s="42" t="str">
        <f>IF('Main Core Flow Mapping'!H14="","",SWITCH('Main Core Flow Mapping'!H14,"Must-have","Bắt buộc","Should-have","Nên có","Could-have","Có thể có",'Main Core Flow Mapping'!H14))</f>
        <v/>
      </c>
      <c r="I13" s="42" t="str">
        <f>IF('Main Core Flow Mapping'!I14="","",'Main Core Flow Mapping'!I14)</f>
        <v/>
      </c>
      <c r="J13" s="42" t="str">
        <f>IFERROR(__xludf.DUMMYFUNCTION("IF('Main Core Flow Mapping'!J14="""","""",IFERROR(GOOGLETRANSLATE('Main Core Flow Mapping'!J14,""en"",""vi""),'Main Core Flow Mapping'!J14))"),"")</f>
        <v/>
      </c>
    </row>
    <row r="14">
      <c r="A14" s="42" t="str">
        <f>IF('Main Core Flow Mapping'!A15="","",'Main Core Flow Mapping'!A15)</f>
        <v/>
      </c>
      <c r="B14" s="42" t="str">
        <f>IFERROR(__xludf.DUMMYFUNCTION("IF('Main Core Flow Mapping'!B15="""","""",IFERROR(GOOGLETRANSLATE('Main Core Flow Mapping'!B15,""en"",""vi""),'Main Core Flow Mapping'!B15))"),"")</f>
        <v/>
      </c>
      <c r="C14" s="42" t="str">
        <f>IF('Main Core Flow Mapping'!C15="","",SWITCH('Main Core Flow Mapping'!C15,"Core","Luồng chính","Supporting","Luồng hỗ trợ",'Main Core Flow Mapping'!C15))</f>
        <v/>
      </c>
      <c r="D14" s="42" t="str">
        <f>IFERROR(__xludf.DUMMYFUNCTION("IF('Main Core Flow Mapping'!D15="""","""",IFERROR(GOOGLETRANSLATE('Main Core Flow Mapping'!D15,""en"",""vi""),'Main Core Flow Mapping'!D15))"),"")</f>
        <v/>
      </c>
      <c r="E14" s="42" t="str">
        <f>IF('Main Core Flow Mapping'!E15="","",'Main Core Flow Mapping'!E15)</f>
        <v/>
      </c>
      <c r="F14" s="42" t="str">
        <f>IFERROR(__xludf.DUMMYFUNCTION("IF('Main Core Flow Mapping'!F15="""","""",IFERROR(GOOGLETRANSLATE('Main Core Flow Mapping'!F15,""en"",""vi""),'Main Core Flow Mapping'!F15))"),"")</f>
        <v/>
      </c>
      <c r="G14" s="42" t="str">
        <f>IFERROR(__xludf.DUMMYFUNCTION("IF('Main Core Flow Mapping'!G15="""","""",IFERROR(GOOGLETRANSLATE('Main Core Flow Mapping'!G15,""en"",""vi""),'Main Core Flow Mapping'!G15))"),"")</f>
        <v/>
      </c>
      <c r="H14" s="42" t="str">
        <f>IF('Main Core Flow Mapping'!H15="","",SWITCH('Main Core Flow Mapping'!H15,"Must-have","Bắt buộc","Should-have","Nên có","Could-have","Có thể có",'Main Core Flow Mapping'!H15))</f>
        <v/>
      </c>
      <c r="I14" s="42" t="str">
        <f>IF('Main Core Flow Mapping'!I15="","",'Main Core Flow Mapping'!I15)</f>
        <v/>
      </c>
      <c r="J14" s="42" t="str">
        <f>IFERROR(__xludf.DUMMYFUNCTION("IF('Main Core Flow Mapping'!J15="""","""",IFERROR(GOOGLETRANSLATE('Main Core Flow Mapping'!J15,""en"",""vi""),'Main Core Flow Mapping'!J15))"),"")</f>
        <v/>
      </c>
    </row>
    <row r="15">
      <c r="A15" s="42" t="str">
        <f>IF('Main Core Flow Mapping'!A16="","",'Main Core Flow Mapping'!A16)</f>
        <v/>
      </c>
      <c r="B15" s="42" t="str">
        <f>IFERROR(__xludf.DUMMYFUNCTION("IF('Main Core Flow Mapping'!B16="""","""",IFERROR(GOOGLETRANSLATE('Main Core Flow Mapping'!B16,""en"",""vi""),'Main Core Flow Mapping'!B16))"),"")</f>
        <v/>
      </c>
      <c r="C15" s="42" t="str">
        <f>IF('Main Core Flow Mapping'!C16="","",SWITCH('Main Core Flow Mapping'!C16,"Core","Luồng chính","Supporting","Luồng hỗ trợ",'Main Core Flow Mapping'!C16))</f>
        <v/>
      </c>
      <c r="D15" s="42" t="str">
        <f>IFERROR(__xludf.DUMMYFUNCTION("IF('Main Core Flow Mapping'!D16="""","""",IFERROR(GOOGLETRANSLATE('Main Core Flow Mapping'!D16,""en"",""vi""),'Main Core Flow Mapping'!D16))"),"")</f>
        <v/>
      </c>
      <c r="E15" s="42" t="str">
        <f>IF('Main Core Flow Mapping'!E16="","",'Main Core Flow Mapping'!E16)</f>
        <v/>
      </c>
      <c r="F15" s="42" t="str">
        <f>IFERROR(__xludf.DUMMYFUNCTION("IF('Main Core Flow Mapping'!F16="""","""",IFERROR(GOOGLETRANSLATE('Main Core Flow Mapping'!F16,""en"",""vi""),'Main Core Flow Mapping'!F16))"),"")</f>
        <v/>
      </c>
      <c r="G15" s="42" t="str">
        <f>IFERROR(__xludf.DUMMYFUNCTION("IF('Main Core Flow Mapping'!G16="""","""",IFERROR(GOOGLETRANSLATE('Main Core Flow Mapping'!G16,""en"",""vi""),'Main Core Flow Mapping'!G16))"),"")</f>
        <v/>
      </c>
      <c r="H15" s="42" t="str">
        <f>IF('Main Core Flow Mapping'!H16="","",SWITCH('Main Core Flow Mapping'!H16,"Must-have","Bắt buộc","Should-have","Nên có","Could-have","Có thể có",'Main Core Flow Mapping'!H16))</f>
        <v/>
      </c>
      <c r="I15" s="42" t="str">
        <f>IF('Main Core Flow Mapping'!I16="","",'Main Core Flow Mapping'!I16)</f>
        <v/>
      </c>
      <c r="J15" s="42" t="str">
        <f>IFERROR(__xludf.DUMMYFUNCTION("IF('Main Core Flow Mapping'!J16="""","""",IFERROR(GOOGLETRANSLATE('Main Core Flow Mapping'!J16,""en"",""vi""),'Main Core Flow Mapping'!J16))"),"")</f>
        <v/>
      </c>
    </row>
    <row r="16">
      <c r="A16" s="42" t="str">
        <f>IF('Main Core Flow Mapping'!A17="","",'Main Core Flow Mapping'!A17)</f>
        <v/>
      </c>
      <c r="B16" s="42" t="str">
        <f>IFERROR(__xludf.DUMMYFUNCTION("IF('Main Core Flow Mapping'!B17="""","""",IFERROR(GOOGLETRANSLATE('Main Core Flow Mapping'!B17,""en"",""vi""),'Main Core Flow Mapping'!B17))"),"")</f>
        <v/>
      </c>
      <c r="C16" s="42" t="str">
        <f>IF('Main Core Flow Mapping'!C17="","",SWITCH('Main Core Flow Mapping'!C17,"Core","Luồng chính","Supporting","Luồng hỗ trợ",'Main Core Flow Mapping'!C17))</f>
        <v/>
      </c>
      <c r="D16" s="42" t="str">
        <f>IFERROR(__xludf.DUMMYFUNCTION("IF('Main Core Flow Mapping'!D17="""","""",IFERROR(GOOGLETRANSLATE('Main Core Flow Mapping'!D17,""en"",""vi""),'Main Core Flow Mapping'!D17))"),"")</f>
        <v/>
      </c>
      <c r="E16" s="42" t="str">
        <f>IF('Main Core Flow Mapping'!E17="","",'Main Core Flow Mapping'!E17)</f>
        <v/>
      </c>
      <c r="F16" s="42" t="str">
        <f>IFERROR(__xludf.DUMMYFUNCTION("IF('Main Core Flow Mapping'!F17="""","""",IFERROR(GOOGLETRANSLATE('Main Core Flow Mapping'!F17,""en"",""vi""),'Main Core Flow Mapping'!F17))"),"")</f>
        <v/>
      </c>
      <c r="G16" s="42" t="str">
        <f>IFERROR(__xludf.DUMMYFUNCTION("IF('Main Core Flow Mapping'!G17="""","""",IFERROR(GOOGLETRANSLATE('Main Core Flow Mapping'!G17,""en"",""vi""),'Main Core Flow Mapping'!G17))"),"")</f>
        <v/>
      </c>
      <c r="H16" s="42" t="str">
        <f>IF('Main Core Flow Mapping'!H17="","",SWITCH('Main Core Flow Mapping'!H17,"Must-have","Bắt buộc","Should-have","Nên có","Could-have","Có thể có",'Main Core Flow Mapping'!H17))</f>
        <v/>
      </c>
      <c r="I16" s="42" t="str">
        <f>IF('Main Core Flow Mapping'!I17="","",'Main Core Flow Mapping'!I17)</f>
        <v/>
      </c>
      <c r="J16" s="42" t="str">
        <f>IFERROR(__xludf.DUMMYFUNCTION("IF('Main Core Flow Mapping'!J17="""","""",IFERROR(GOOGLETRANSLATE('Main Core Flow Mapping'!J17,""en"",""vi""),'Main Core Flow Mapping'!J17))"),"")</f>
        <v/>
      </c>
    </row>
    <row r="17">
      <c r="A17" s="42" t="str">
        <f>IF('Main Core Flow Mapping'!A18="","",'Main Core Flow Mapping'!A18)</f>
        <v/>
      </c>
      <c r="B17" s="42" t="str">
        <f>IFERROR(__xludf.DUMMYFUNCTION("IF('Main Core Flow Mapping'!B18="""","""",IFERROR(GOOGLETRANSLATE('Main Core Flow Mapping'!B18,""en"",""vi""),'Main Core Flow Mapping'!B18))"),"")</f>
        <v/>
      </c>
      <c r="C17" s="42" t="str">
        <f>IF('Main Core Flow Mapping'!C18="","",SWITCH('Main Core Flow Mapping'!C18,"Core","Luồng chính","Supporting","Luồng hỗ trợ",'Main Core Flow Mapping'!C18))</f>
        <v/>
      </c>
      <c r="D17" s="42" t="str">
        <f>IFERROR(__xludf.DUMMYFUNCTION("IF('Main Core Flow Mapping'!D18="""","""",IFERROR(GOOGLETRANSLATE('Main Core Flow Mapping'!D18,""en"",""vi""),'Main Core Flow Mapping'!D18))"),"")</f>
        <v/>
      </c>
      <c r="E17" s="42" t="str">
        <f>IF('Main Core Flow Mapping'!E18="","",'Main Core Flow Mapping'!E18)</f>
        <v/>
      </c>
      <c r="F17" s="42" t="str">
        <f>IFERROR(__xludf.DUMMYFUNCTION("IF('Main Core Flow Mapping'!F18="""","""",IFERROR(GOOGLETRANSLATE('Main Core Flow Mapping'!F18,""en"",""vi""),'Main Core Flow Mapping'!F18))"),"")</f>
        <v/>
      </c>
      <c r="G17" s="42" t="str">
        <f>IFERROR(__xludf.DUMMYFUNCTION("IF('Main Core Flow Mapping'!G18="""","""",IFERROR(GOOGLETRANSLATE('Main Core Flow Mapping'!G18,""en"",""vi""),'Main Core Flow Mapping'!G18))"),"")</f>
        <v/>
      </c>
      <c r="H17" s="42" t="str">
        <f>IF('Main Core Flow Mapping'!H18="","",SWITCH('Main Core Flow Mapping'!H18,"Must-have","Bắt buộc","Should-have","Nên có","Could-have","Có thể có",'Main Core Flow Mapping'!H18))</f>
        <v/>
      </c>
      <c r="I17" s="42" t="str">
        <f>IF('Main Core Flow Mapping'!I18="","",'Main Core Flow Mapping'!I18)</f>
        <v/>
      </c>
      <c r="J17" s="42" t="str">
        <f>IFERROR(__xludf.DUMMYFUNCTION("IF('Main Core Flow Mapping'!J18="""","""",IFERROR(GOOGLETRANSLATE('Main Core Flow Mapping'!J18,""en"",""vi""),'Main Core Flow Mapping'!J18))"),"")</f>
        <v/>
      </c>
    </row>
    <row r="18">
      <c r="A18" s="42" t="str">
        <f>IF('Main Core Flow Mapping'!A19="","",'Main Core Flow Mapping'!A19)</f>
        <v/>
      </c>
      <c r="B18" s="42" t="str">
        <f>IFERROR(__xludf.DUMMYFUNCTION("IF('Main Core Flow Mapping'!B19="""","""",IFERROR(GOOGLETRANSLATE('Main Core Flow Mapping'!B19,""en"",""vi""),'Main Core Flow Mapping'!B19))"),"")</f>
        <v/>
      </c>
      <c r="C18" s="42" t="str">
        <f>IF('Main Core Flow Mapping'!C19="","",SWITCH('Main Core Flow Mapping'!C19,"Core","Luồng chính","Supporting","Luồng hỗ trợ",'Main Core Flow Mapping'!C19))</f>
        <v/>
      </c>
      <c r="D18" s="42" t="str">
        <f>IFERROR(__xludf.DUMMYFUNCTION("IF('Main Core Flow Mapping'!D19="""","""",IFERROR(GOOGLETRANSLATE('Main Core Flow Mapping'!D19,""en"",""vi""),'Main Core Flow Mapping'!D19))"),"")</f>
        <v/>
      </c>
      <c r="E18" s="42" t="str">
        <f>IF('Main Core Flow Mapping'!E19="","",'Main Core Flow Mapping'!E19)</f>
        <v/>
      </c>
      <c r="F18" s="42" t="str">
        <f>IFERROR(__xludf.DUMMYFUNCTION("IF('Main Core Flow Mapping'!F19="""","""",IFERROR(GOOGLETRANSLATE('Main Core Flow Mapping'!F19,""en"",""vi""),'Main Core Flow Mapping'!F19))"),"")</f>
        <v/>
      </c>
      <c r="G18" s="42" t="str">
        <f>IFERROR(__xludf.DUMMYFUNCTION("IF('Main Core Flow Mapping'!G19="""","""",IFERROR(GOOGLETRANSLATE('Main Core Flow Mapping'!G19,""en"",""vi""),'Main Core Flow Mapping'!G19))"),"")</f>
        <v/>
      </c>
      <c r="H18" s="42" t="str">
        <f>IF('Main Core Flow Mapping'!H19="","",SWITCH('Main Core Flow Mapping'!H19,"Must-have","Bắt buộc","Should-have","Nên có","Could-have","Có thể có",'Main Core Flow Mapping'!H19))</f>
        <v/>
      </c>
      <c r="I18" s="42" t="str">
        <f>IF('Main Core Flow Mapping'!I19="","",'Main Core Flow Mapping'!I19)</f>
        <v/>
      </c>
      <c r="J18" s="42" t="str">
        <f>IFERROR(__xludf.DUMMYFUNCTION("IF('Main Core Flow Mapping'!J19="""","""",IFERROR(GOOGLETRANSLATE('Main Core Flow Mapping'!J19,""en"",""vi""),'Main Core Flow Mapping'!J19))"),"")</f>
        <v/>
      </c>
    </row>
    <row r="19">
      <c r="A19" s="42" t="str">
        <f>IF('Main Core Flow Mapping'!A20="","",'Main Core Flow Mapping'!A20)</f>
        <v/>
      </c>
      <c r="B19" s="42" t="str">
        <f>IFERROR(__xludf.DUMMYFUNCTION("IF('Main Core Flow Mapping'!B20="""","""",IFERROR(GOOGLETRANSLATE('Main Core Flow Mapping'!B20,""en"",""vi""),'Main Core Flow Mapping'!B20))"),"")</f>
        <v/>
      </c>
      <c r="C19" s="42" t="str">
        <f>IF('Main Core Flow Mapping'!C20="","",SWITCH('Main Core Flow Mapping'!C20,"Core","Luồng chính","Supporting","Luồng hỗ trợ",'Main Core Flow Mapping'!C20))</f>
        <v/>
      </c>
      <c r="D19" s="42" t="str">
        <f>IFERROR(__xludf.DUMMYFUNCTION("IF('Main Core Flow Mapping'!D20="""","""",IFERROR(GOOGLETRANSLATE('Main Core Flow Mapping'!D20,""en"",""vi""),'Main Core Flow Mapping'!D20))"),"")</f>
        <v/>
      </c>
      <c r="E19" s="42" t="str">
        <f>IF('Main Core Flow Mapping'!E20="","",'Main Core Flow Mapping'!E20)</f>
        <v/>
      </c>
      <c r="F19" s="42" t="str">
        <f>IFERROR(__xludf.DUMMYFUNCTION("IF('Main Core Flow Mapping'!F20="""","""",IFERROR(GOOGLETRANSLATE('Main Core Flow Mapping'!F20,""en"",""vi""),'Main Core Flow Mapping'!F20))"),"")</f>
        <v/>
      </c>
      <c r="G19" s="42" t="str">
        <f>IFERROR(__xludf.DUMMYFUNCTION("IF('Main Core Flow Mapping'!G20="""","""",IFERROR(GOOGLETRANSLATE('Main Core Flow Mapping'!G20,""en"",""vi""),'Main Core Flow Mapping'!G20))"),"")</f>
        <v/>
      </c>
      <c r="H19" s="42" t="str">
        <f>IF('Main Core Flow Mapping'!H20="","",SWITCH('Main Core Flow Mapping'!H20,"Must-have","Bắt buộc","Should-have","Nên có","Could-have","Có thể có",'Main Core Flow Mapping'!H20))</f>
        <v/>
      </c>
      <c r="I19" s="42" t="str">
        <f>IF('Main Core Flow Mapping'!I20="","",'Main Core Flow Mapping'!I20)</f>
        <v/>
      </c>
      <c r="J19" s="42" t="str">
        <f>IFERROR(__xludf.DUMMYFUNCTION("IF('Main Core Flow Mapping'!J20="""","""",IFERROR(GOOGLETRANSLATE('Main Core Flow Mapping'!J20,""en"",""vi""),'Main Core Flow Mapping'!J20))"),"")</f>
        <v/>
      </c>
    </row>
    <row r="20">
      <c r="A20" s="42" t="str">
        <f>IF('Main Core Flow Mapping'!A21="","",'Main Core Flow Mapping'!A21)</f>
        <v/>
      </c>
      <c r="B20" s="42" t="str">
        <f>IFERROR(__xludf.DUMMYFUNCTION("IF('Main Core Flow Mapping'!B21="""","""",IFERROR(GOOGLETRANSLATE('Main Core Flow Mapping'!B21,""en"",""vi""),'Main Core Flow Mapping'!B21))"),"")</f>
        <v/>
      </c>
      <c r="C20" s="42" t="str">
        <f>IF('Main Core Flow Mapping'!C21="","",SWITCH('Main Core Flow Mapping'!C21,"Core","Luồng chính","Supporting","Luồng hỗ trợ",'Main Core Flow Mapping'!C21))</f>
        <v/>
      </c>
      <c r="D20" s="42" t="str">
        <f>IFERROR(__xludf.DUMMYFUNCTION("IF('Main Core Flow Mapping'!D21="""","""",IFERROR(GOOGLETRANSLATE('Main Core Flow Mapping'!D21,""en"",""vi""),'Main Core Flow Mapping'!D21))"),"")</f>
        <v/>
      </c>
      <c r="E20" s="42" t="str">
        <f>IF('Main Core Flow Mapping'!E21="","",'Main Core Flow Mapping'!E21)</f>
        <v/>
      </c>
      <c r="F20" s="42" t="str">
        <f>IFERROR(__xludf.DUMMYFUNCTION("IF('Main Core Flow Mapping'!F21="""","""",IFERROR(GOOGLETRANSLATE('Main Core Flow Mapping'!F21,""en"",""vi""),'Main Core Flow Mapping'!F21))"),"")</f>
        <v/>
      </c>
      <c r="G20" s="42" t="str">
        <f>IFERROR(__xludf.DUMMYFUNCTION("IF('Main Core Flow Mapping'!G21="""","""",IFERROR(GOOGLETRANSLATE('Main Core Flow Mapping'!G21,""en"",""vi""),'Main Core Flow Mapping'!G21))"),"")</f>
        <v/>
      </c>
      <c r="H20" s="42" t="str">
        <f>IF('Main Core Flow Mapping'!H21="","",SWITCH('Main Core Flow Mapping'!H21,"Must-have","Bắt buộc","Should-have","Nên có","Could-have","Có thể có",'Main Core Flow Mapping'!H21))</f>
        <v/>
      </c>
      <c r="I20" s="42" t="str">
        <f>IF('Main Core Flow Mapping'!I21="","",'Main Core Flow Mapping'!I21)</f>
        <v/>
      </c>
      <c r="J20" s="42" t="str">
        <f>IFERROR(__xludf.DUMMYFUNCTION("IF('Main Core Flow Mapping'!J21="""","""",IFERROR(GOOGLETRANSLATE('Main Core Flow Mapping'!J21,""en"",""vi""),'Main Core Flow Mapping'!J21))"),"")</f>
        <v/>
      </c>
    </row>
    <row r="21">
      <c r="A21" s="42" t="str">
        <f>IF('Main Core Flow Mapping'!A22="","",'Main Core Flow Mapping'!A22)</f>
        <v/>
      </c>
      <c r="B21" s="42" t="str">
        <f>IFERROR(__xludf.DUMMYFUNCTION("IF('Main Core Flow Mapping'!B22="""","""",IFERROR(GOOGLETRANSLATE('Main Core Flow Mapping'!B22,""en"",""vi""),'Main Core Flow Mapping'!B22))"),"")</f>
        <v/>
      </c>
      <c r="C21" s="42" t="str">
        <f>IF('Main Core Flow Mapping'!C22="","",SWITCH('Main Core Flow Mapping'!C22,"Core","Luồng chính","Supporting","Luồng hỗ trợ",'Main Core Flow Mapping'!C22))</f>
        <v/>
      </c>
      <c r="D21" s="42" t="str">
        <f>IFERROR(__xludf.DUMMYFUNCTION("IF('Main Core Flow Mapping'!D22="""","""",IFERROR(GOOGLETRANSLATE('Main Core Flow Mapping'!D22,""en"",""vi""),'Main Core Flow Mapping'!D22))"),"")</f>
        <v/>
      </c>
      <c r="E21" s="42" t="str">
        <f>IF('Main Core Flow Mapping'!E22="","",'Main Core Flow Mapping'!E22)</f>
        <v/>
      </c>
      <c r="F21" s="42" t="str">
        <f>IFERROR(__xludf.DUMMYFUNCTION("IF('Main Core Flow Mapping'!F22="""","""",IFERROR(GOOGLETRANSLATE('Main Core Flow Mapping'!F22,""en"",""vi""),'Main Core Flow Mapping'!F22))"),"")</f>
        <v/>
      </c>
      <c r="G21" s="42" t="str">
        <f>IFERROR(__xludf.DUMMYFUNCTION("IF('Main Core Flow Mapping'!G22="""","""",IFERROR(GOOGLETRANSLATE('Main Core Flow Mapping'!G22,""en"",""vi""),'Main Core Flow Mapping'!G22))"),"")</f>
        <v/>
      </c>
      <c r="H21" s="42" t="str">
        <f>IF('Main Core Flow Mapping'!H22="","",SWITCH('Main Core Flow Mapping'!H22,"Must-have","Bắt buộc","Should-have","Nên có","Could-have","Có thể có",'Main Core Flow Mapping'!H22))</f>
        <v/>
      </c>
      <c r="I21" s="42" t="str">
        <f>IF('Main Core Flow Mapping'!I22="","",'Main Core Flow Mapping'!I22)</f>
        <v/>
      </c>
      <c r="J21" s="42" t="str">
        <f>IFERROR(__xludf.DUMMYFUNCTION("IF('Main Core Flow Mapping'!J22="""","""",IFERROR(GOOGLETRANSLATE('Main Core Flow Mapping'!J22,""en"",""vi""),'Main Core Flow Mapping'!J22))"),"")</f>
        <v/>
      </c>
    </row>
    <row r="22">
      <c r="A22" s="42" t="str">
        <f>IF('Main Core Flow Mapping'!A23="","",'Main Core Flow Mapping'!A23)</f>
        <v/>
      </c>
      <c r="B22" s="42" t="str">
        <f>IFERROR(__xludf.DUMMYFUNCTION("IF('Main Core Flow Mapping'!B23="""","""",IFERROR(GOOGLETRANSLATE('Main Core Flow Mapping'!B23,""en"",""vi""),'Main Core Flow Mapping'!B23))"),"")</f>
        <v/>
      </c>
      <c r="C22" s="42" t="str">
        <f>IF('Main Core Flow Mapping'!C23="","",SWITCH('Main Core Flow Mapping'!C23,"Core","Luồng chính","Supporting","Luồng hỗ trợ",'Main Core Flow Mapping'!C23))</f>
        <v/>
      </c>
      <c r="D22" s="42" t="str">
        <f>IFERROR(__xludf.DUMMYFUNCTION("IF('Main Core Flow Mapping'!D23="""","""",IFERROR(GOOGLETRANSLATE('Main Core Flow Mapping'!D23,""en"",""vi""),'Main Core Flow Mapping'!D23))"),"")</f>
        <v/>
      </c>
      <c r="E22" s="42" t="str">
        <f>IF('Main Core Flow Mapping'!E23="","",'Main Core Flow Mapping'!E23)</f>
        <v/>
      </c>
      <c r="F22" s="42" t="str">
        <f>IFERROR(__xludf.DUMMYFUNCTION("IF('Main Core Flow Mapping'!F23="""","""",IFERROR(GOOGLETRANSLATE('Main Core Flow Mapping'!F23,""en"",""vi""),'Main Core Flow Mapping'!F23))"),"")</f>
        <v/>
      </c>
      <c r="G22" s="42" t="str">
        <f>IFERROR(__xludf.DUMMYFUNCTION("IF('Main Core Flow Mapping'!G23="""","""",IFERROR(GOOGLETRANSLATE('Main Core Flow Mapping'!G23,""en"",""vi""),'Main Core Flow Mapping'!G23))"),"")</f>
        <v/>
      </c>
      <c r="H22" s="42" t="str">
        <f>IF('Main Core Flow Mapping'!H23="","",SWITCH('Main Core Flow Mapping'!H23,"Must-have","Bắt buộc","Should-have","Nên có","Could-have","Có thể có",'Main Core Flow Mapping'!H23))</f>
        <v/>
      </c>
      <c r="I22" s="42" t="str">
        <f>IF('Main Core Flow Mapping'!I23="","",'Main Core Flow Mapping'!I23)</f>
        <v/>
      </c>
      <c r="J22" s="42" t="str">
        <f>IFERROR(__xludf.DUMMYFUNCTION("IF('Main Core Flow Mapping'!J23="""","""",IFERROR(GOOGLETRANSLATE('Main Core Flow Mapping'!J23,""en"",""vi""),'Main Core Flow Mapping'!J23))"),"")</f>
        <v/>
      </c>
    </row>
    <row r="23">
      <c r="A23" s="42" t="str">
        <f>IF('Main Core Flow Mapping'!A24="","",'Main Core Flow Mapping'!A24)</f>
        <v/>
      </c>
      <c r="B23" s="42" t="str">
        <f>IFERROR(__xludf.DUMMYFUNCTION("IF('Main Core Flow Mapping'!B24="""","""",IFERROR(GOOGLETRANSLATE('Main Core Flow Mapping'!B24,""en"",""vi""),'Main Core Flow Mapping'!B24))"),"")</f>
        <v/>
      </c>
      <c r="C23" s="42" t="str">
        <f>IF('Main Core Flow Mapping'!C24="","",SWITCH('Main Core Flow Mapping'!C24,"Core","Luồng chính","Supporting","Luồng hỗ trợ",'Main Core Flow Mapping'!C24))</f>
        <v/>
      </c>
      <c r="D23" s="42" t="str">
        <f>IFERROR(__xludf.DUMMYFUNCTION("IF('Main Core Flow Mapping'!D24="""","""",IFERROR(GOOGLETRANSLATE('Main Core Flow Mapping'!D24,""en"",""vi""),'Main Core Flow Mapping'!D24))"),"")</f>
        <v/>
      </c>
      <c r="E23" s="42" t="str">
        <f>IF('Main Core Flow Mapping'!E24="","",'Main Core Flow Mapping'!E24)</f>
        <v/>
      </c>
      <c r="F23" s="42" t="str">
        <f>IFERROR(__xludf.DUMMYFUNCTION("IF('Main Core Flow Mapping'!F24="""","""",IFERROR(GOOGLETRANSLATE('Main Core Flow Mapping'!F24,""en"",""vi""),'Main Core Flow Mapping'!F24))"),"")</f>
        <v/>
      </c>
      <c r="G23" s="42" t="str">
        <f>IFERROR(__xludf.DUMMYFUNCTION("IF('Main Core Flow Mapping'!G24="""","""",IFERROR(GOOGLETRANSLATE('Main Core Flow Mapping'!G24,""en"",""vi""),'Main Core Flow Mapping'!G24))"),"")</f>
        <v/>
      </c>
      <c r="H23" s="42" t="str">
        <f>IF('Main Core Flow Mapping'!H24="","",SWITCH('Main Core Flow Mapping'!H24,"Must-have","Bắt buộc","Should-have","Nên có","Could-have","Có thể có",'Main Core Flow Mapping'!H24))</f>
        <v/>
      </c>
      <c r="I23" s="42" t="str">
        <f>IF('Main Core Flow Mapping'!I24="","",'Main Core Flow Mapping'!I24)</f>
        <v/>
      </c>
      <c r="J23" s="42" t="str">
        <f>IFERROR(__xludf.DUMMYFUNCTION("IF('Main Core Flow Mapping'!J24="""","""",IFERROR(GOOGLETRANSLATE('Main Core Flow Mapping'!J24,""en"",""vi""),'Main Core Flow Mapping'!J24))"),"")</f>
        <v/>
      </c>
    </row>
    <row r="24">
      <c r="A24" s="42" t="str">
        <f>IF('Main Core Flow Mapping'!A25="","",'Main Core Flow Mapping'!A25)</f>
        <v/>
      </c>
      <c r="B24" s="42" t="str">
        <f>IFERROR(__xludf.DUMMYFUNCTION("IF('Main Core Flow Mapping'!B25="""","""",IFERROR(GOOGLETRANSLATE('Main Core Flow Mapping'!B25,""en"",""vi""),'Main Core Flow Mapping'!B25))"),"")</f>
        <v/>
      </c>
      <c r="C24" s="42" t="str">
        <f>IF('Main Core Flow Mapping'!C25="","",SWITCH('Main Core Flow Mapping'!C25,"Core","Luồng chính","Supporting","Luồng hỗ trợ",'Main Core Flow Mapping'!C25))</f>
        <v/>
      </c>
      <c r="D24" s="42" t="str">
        <f>IFERROR(__xludf.DUMMYFUNCTION("IF('Main Core Flow Mapping'!D25="""","""",IFERROR(GOOGLETRANSLATE('Main Core Flow Mapping'!D25,""en"",""vi""),'Main Core Flow Mapping'!D25))"),"")</f>
        <v/>
      </c>
      <c r="E24" s="42" t="str">
        <f>IF('Main Core Flow Mapping'!E25="","",'Main Core Flow Mapping'!E25)</f>
        <v/>
      </c>
      <c r="F24" s="42" t="str">
        <f>IFERROR(__xludf.DUMMYFUNCTION("IF('Main Core Flow Mapping'!F25="""","""",IFERROR(GOOGLETRANSLATE('Main Core Flow Mapping'!F25,""en"",""vi""),'Main Core Flow Mapping'!F25))"),"")</f>
        <v/>
      </c>
      <c r="G24" s="42" t="str">
        <f>IFERROR(__xludf.DUMMYFUNCTION("IF('Main Core Flow Mapping'!G25="""","""",IFERROR(GOOGLETRANSLATE('Main Core Flow Mapping'!G25,""en"",""vi""),'Main Core Flow Mapping'!G25))"),"")</f>
        <v/>
      </c>
      <c r="H24" s="42" t="str">
        <f>IF('Main Core Flow Mapping'!H25="","",SWITCH('Main Core Flow Mapping'!H25,"Must-have","Bắt buộc","Should-have","Nên có","Could-have","Có thể có",'Main Core Flow Mapping'!H25))</f>
        <v/>
      </c>
      <c r="I24" s="42" t="str">
        <f>IF('Main Core Flow Mapping'!I25="","",'Main Core Flow Mapping'!I25)</f>
        <v/>
      </c>
      <c r="J24" s="42" t="str">
        <f>IFERROR(__xludf.DUMMYFUNCTION("IF('Main Core Flow Mapping'!J25="""","""",IFERROR(GOOGLETRANSLATE('Main Core Flow Mapping'!J25,""en"",""vi""),'Main Core Flow Mapping'!J25))"),"")</f>
        <v/>
      </c>
    </row>
    <row r="25">
      <c r="A25" s="42" t="str">
        <f>IF('Main Core Flow Mapping'!A26="","",'Main Core Flow Mapping'!A26)</f>
        <v/>
      </c>
      <c r="B25" s="42" t="str">
        <f>IFERROR(__xludf.DUMMYFUNCTION("IF('Main Core Flow Mapping'!B26="""","""",IFERROR(GOOGLETRANSLATE('Main Core Flow Mapping'!B26,""en"",""vi""),'Main Core Flow Mapping'!B26))"),"")</f>
        <v/>
      </c>
      <c r="C25" s="42" t="str">
        <f>IF('Main Core Flow Mapping'!C26="","",SWITCH('Main Core Flow Mapping'!C26,"Core","Luồng chính","Supporting","Luồng hỗ trợ",'Main Core Flow Mapping'!C26))</f>
        <v/>
      </c>
      <c r="D25" s="42" t="str">
        <f>IFERROR(__xludf.DUMMYFUNCTION("IF('Main Core Flow Mapping'!D26="""","""",IFERROR(GOOGLETRANSLATE('Main Core Flow Mapping'!D26,""en"",""vi""),'Main Core Flow Mapping'!D26))"),"")</f>
        <v/>
      </c>
      <c r="E25" s="42" t="str">
        <f>IF('Main Core Flow Mapping'!E26="","",'Main Core Flow Mapping'!E26)</f>
        <v/>
      </c>
      <c r="F25" s="42" t="str">
        <f>IFERROR(__xludf.DUMMYFUNCTION("IF('Main Core Flow Mapping'!F26="""","""",IFERROR(GOOGLETRANSLATE('Main Core Flow Mapping'!F26,""en"",""vi""),'Main Core Flow Mapping'!F26))"),"")</f>
        <v/>
      </c>
      <c r="G25" s="42" t="str">
        <f>IFERROR(__xludf.DUMMYFUNCTION("IF('Main Core Flow Mapping'!G26="""","""",IFERROR(GOOGLETRANSLATE('Main Core Flow Mapping'!G26,""en"",""vi""),'Main Core Flow Mapping'!G26))"),"")</f>
        <v/>
      </c>
      <c r="H25" s="42" t="str">
        <f>IF('Main Core Flow Mapping'!H26="","",SWITCH('Main Core Flow Mapping'!H26,"Must-have","Bắt buộc","Should-have","Nên có","Could-have","Có thể có",'Main Core Flow Mapping'!H26))</f>
        <v/>
      </c>
      <c r="I25" s="42" t="str">
        <f>IF('Main Core Flow Mapping'!I26="","",'Main Core Flow Mapping'!I26)</f>
        <v/>
      </c>
      <c r="J25" s="42" t="str">
        <f>IFERROR(__xludf.DUMMYFUNCTION("IF('Main Core Flow Mapping'!J26="""","""",IFERROR(GOOGLETRANSLATE('Main Core Flow Mapping'!J26,""en"",""vi""),'Main Core Flow Mapping'!J26))"),"")</f>
        <v/>
      </c>
    </row>
    <row r="26">
      <c r="A26" s="42" t="str">
        <f>IF('Main Core Flow Mapping'!A27="","",'Main Core Flow Mapping'!A27)</f>
        <v/>
      </c>
      <c r="B26" s="42" t="str">
        <f>IFERROR(__xludf.DUMMYFUNCTION("IF('Main Core Flow Mapping'!B27="""","""",IFERROR(GOOGLETRANSLATE('Main Core Flow Mapping'!B27,""en"",""vi""),'Main Core Flow Mapping'!B27))"),"")</f>
        <v/>
      </c>
      <c r="C26" s="42" t="str">
        <f>IF('Main Core Flow Mapping'!C27="","",SWITCH('Main Core Flow Mapping'!C27,"Core","Luồng chính","Supporting","Luồng hỗ trợ",'Main Core Flow Mapping'!C27))</f>
        <v/>
      </c>
      <c r="D26" s="42" t="str">
        <f>IFERROR(__xludf.DUMMYFUNCTION("IF('Main Core Flow Mapping'!D27="""","""",IFERROR(GOOGLETRANSLATE('Main Core Flow Mapping'!D27,""en"",""vi""),'Main Core Flow Mapping'!D27))"),"")</f>
        <v/>
      </c>
      <c r="E26" s="42" t="str">
        <f>IF('Main Core Flow Mapping'!E27="","",'Main Core Flow Mapping'!E27)</f>
        <v/>
      </c>
      <c r="F26" s="42" t="str">
        <f>IFERROR(__xludf.DUMMYFUNCTION("IF('Main Core Flow Mapping'!F27="""","""",IFERROR(GOOGLETRANSLATE('Main Core Flow Mapping'!F27,""en"",""vi""),'Main Core Flow Mapping'!F27))"),"")</f>
        <v/>
      </c>
      <c r="G26" s="42" t="str">
        <f>IFERROR(__xludf.DUMMYFUNCTION("IF('Main Core Flow Mapping'!G27="""","""",IFERROR(GOOGLETRANSLATE('Main Core Flow Mapping'!G27,""en"",""vi""),'Main Core Flow Mapping'!G27))"),"")</f>
        <v/>
      </c>
      <c r="H26" s="42" t="str">
        <f>IF('Main Core Flow Mapping'!H27="","",SWITCH('Main Core Flow Mapping'!H27,"Must-have","Bắt buộc","Should-have","Nên có","Could-have","Có thể có",'Main Core Flow Mapping'!H27))</f>
        <v/>
      </c>
      <c r="I26" s="42" t="str">
        <f>IF('Main Core Flow Mapping'!I27="","",'Main Core Flow Mapping'!I27)</f>
        <v/>
      </c>
      <c r="J26" s="42" t="str">
        <f>IFERROR(__xludf.DUMMYFUNCTION("IF('Main Core Flow Mapping'!J27="""","""",IFERROR(GOOGLETRANSLATE('Main Core Flow Mapping'!J27,""en"",""vi""),'Main Core Flow Mapping'!J27))"),"")</f>
        <v/>
      </c>
    </row>
    <row r="27">
      <c r="A27" s="42" t="str">
        <f>IF('Main Core Flow Mapping'!A28="","",'Main Core Flow Mapping'!A28)</f>
        <v/>
      </c>
      <c r="B27" s="42" t="str">
        <f>IFERROR(__xludf.DUMMYFUNCTION("IF('Main Core Flow Mapping'!B28="""","""",IFERROR(GOOGLETRANSLATE('Main Core Flow Mapping'!B28,""en"",""vi""),'Main Core Flow Mapping'!B28))"),"")</f>
        <v/>
      </c>
      <c r="C27" s="42" t="str">
        <f>IF('Main Core Flow Mapping'!C28="","",SWITCH('Main Core Flow Mapping'!C28,"Core","Luồng chính","Supporting","Luồng hỗ trợ",'Main Core Flow Mapping'!C28))</f>
        <v/>
      </c>
      <c r="D27" s="42" t="str">
        <f>IFERROR(__xludf.DUMMYFUNCTION("IF('Main Core Flow Mapping'!D28="""","""",IFERROR(GOOGLETRANSLATE('Main Core Flow Mapping'!D28,""en"",""vi""),'Main Core Flow Mapping'!D28))"),"")</f>
        <v/>
      </c>
      <c r="E27" s="42" t="str">
        <f>IF('Main Core Flow Mapping'!E28="","",'Main Core Flow Mapping'!E28)</f>
        <v/>
      </c>
      <c r="F27" s="42" t="str">
        <f>IFERROR(__xludf.DUMMYFUNCTION("IF('Main Core Flow Mapping'!F28="""","""",IFERROR(GOOGLETRANSLATE('Main Core Flow Mapping'!F28,""en"",""vi""),'Main Core Flow Mapping'!F28))"),"")</f>
        <v/>
      </c>
      <c r="G27" s="42" t="str">
        <f>IFERROR(__xludf.DUMMYFUNCTION("IF('Main Core Flow Mapping'!G28="""","""",IFERROR(GOOGLETRANSLATE('Main Core Flow Mapping'!G28,""en"",""vi""),'Main Core Flow Mapping'!G28))"),"")</f>
        <v/>
      </c>
      <c r="H27" s="42" t="str">
        <f>IF('Main Core Flow Mapping'!H28="","",SWITCH('Main Core Flow Mapping'!H28,"Must-have","Bắt buộc","Should-have","Nên có","Could-have","Có thể có",'Main Core Flow Mapping'!H28))</f>
        <v/>
      </c>
      <c r="I27" s="42" t="str">
        <f>IF('Main Core Flow Mapping'!I28="","",'Main Core Flow Mapping'!I28)</f>
        <v/>
      </c>
      <c r="J27" s="42" t="str">
        <f>IFERROR(__xludf.DUMMYFUNCTION("IF('Main Core Flow Mapping'!J28="""","""",IFERROR(GOOGLETRANSLATE('Main Core Flow Mapping'!J28,""en"",""vi""),'Main Core Flow Mapping'!J28))"),"")</f>
        <v/>
      </c>
    </row>
    <row r="28">
      <c r="A28" s="42" t="str">
        <f>IF('Main Core Flow Mapping'!A29="","",'Main Core Flow Mapping'!A29)</f>
        <v/>
      </c>
      <c r="B28" s="42" t="str">
        <f>IFERROR(__xludf.DUMMYFUNCTION("IF('Main Core Flow Mapping'!B29="""","""",IFERROR(GOOGLETRANSLATE('Main Core Flow Mapping'!B29,""en"",""vi""),'Main Core Flow Mapping'!B29))"),"")</f>
        <v/>
      </c>
      <c r="C28" s="42" t="str">
        <f>IF('Main Core Flow Mapping'!C29="","",SWITCH('Main Core Flow Mapping'!C29,"Core","Luồng chính","Supporting","Luồng hỗ trợ",'Main Core Flow Mapping'!C29))</f>
        <v/>
      </c>
      <c r="D28" s="42" t="str">
        <f>IFERROR(__xludf.DUMMYFUNCTION("IF('Main Core Flow Mapping'!D29="""","""",IFERROR(GOOGLETRANSLATE('Main Core Flow Mapping'!D29,""en"",""vi""),'Main Core Flow Mapping'!D29))"),"")</f>
        <v/>
      </c>
      <c r="E28" s="42" t="str">
        <f>IF('Main Core Flow Mapping'!E29="","",'Main Core Flow Mapping'!E29)</f>
        <v/>
      </c>
      <c r="F28" s="42" t="str">
        <f>IFERROR(__xludf.DUMMYFUNCTION("IF('Main Core Flow Mapping'!F29="""","""",IFERROR(GOOGLETRANSLATE('Main Core Flow Mapping'!F29,""en"",""vi""),'Main Core Flow Mapping'!F29))"),"")</f>
        <v/>
      </c>
      <c r="G28" s="42" t="str">
        <f>IFERROR(__xludf.DUMMYFUNCTION("IF('Main Core Flow Mapping'!G29="""","""",IFERROR(GOOGLETRANSLATE('Main Core Flow Mapping'!G29,""en"",""vi""),'Main Core Flow Mapping'!G29))"),"")</f>
        <v/>
      </c>
      <c r="H28" s="42" t="str">
        <f>IF('Main Core Flow Mapping'!H29="","",SWITCH('Main Core Flow Mapping'!H29,"Must-have","Bắt buộc","Should-have","Nên có","Could-have","Có thể có",'Main Core Flow Mapping'!H29))</f>
        <v/>
      </c>
      <c r="I28" s="42" t="str">
        <f>IF('Main Core Flow Mapping'!I29="","",'Main Core Flow Mapping'!I29)</f>
        <v/>
      </c>
      <c r="J28" s="42" t="str">
        <f>IFERROR(__xludf.DUMMYFUNCTION("IF('Main Core Flow Mapping'!J29="""","""",IFERROR(GOOGLETRANSLATE('Main Core Flow Mapping'!J29,""en"",""vi""),'Main Core Flow Mapping'!J29))"),"")</f>
        <v/>
      </c>
    </row>
    <row r="29">
      <c r="A29" s="42" t="str">
        <f>IF('Main Core Flow Mapping'!A30="","",'Main Core Flow Mapping'!A30)</f>
        <v/>
      </c>
      <c r="B29" s="42" t="str">
        <f>IFERROR(__xludf.DUMMYFUNCTION("IF('Main Core Flow Mapping'!B30="""","""",IFERROR(GOOGLETRANSLATE('Main Core Flow Mapping'!B30,""en"",""vi""),'Main Core Flow Mapping'!B30))"),"")</f>
        <v/>
      </c>
      <c r="C29" s="42" t="str">
        <f>IF('Main Core Flow Mapping'!C30="","",SWITCH('Main Core Flow Mapping'!C30,"Core","Luồng chính","Supporting","Luồng hỗ trợ",'Main Core Flow Mapping'!C30))</f>
        <v/>
      </c>
      <c r="D29" s="42" t="str">
        <f>IFERROR(__xludf.DUMMYFUNCTION("IF('Main Core Flow Mapping'!D30="""","""",IFERROR(GOOGLETRANSLATE('Main Core Flow Mapping'!D30,""en"",""vi""),'Main Core Flow Mapping'!D30))"),"")</f>
        <v/>
      </c>
      <c r="E29" s="42" t="str">
        <f>IF('Main Core Flow Mapping'!E30="","",'Main Core Flow Mapping'!E30)</f>
        <v/>
      </c>
      <c r="F29" s="42" t="str">
        <f>IFERROR(__xludf.DUMMYFUNCTION("IF('Main Core Flow Mapping'!F30="""","""",IFERROR(GOOGLETRANSLATE('Main Core Flow Mapping'!F30,""en"",""vi""),'Main Core Flow Mapping'!F30))"),"")</f>
        <v/>
      </c>
      <c r="G29" s="42" t="str">
        <f>IFERROR(__xludf.DUMMYFUNCTION("IF('Main Core Flow Mapping'!G30="""","""",IFERROR(GOOGLETRANSLATE('Main Core Flow Mapping'!G30,""en"",""vi""),'Main Core Flow Mapping'!G30))"),"")</f>
        <v/>
      </c>
      <c r="H29" s="42" t="str">
        <f>IF('Main Core Flow Mapping'!H30="","",SWITCH('Main Core Flow Mapping'!H30,"Must-have","Bắt buộc","Should-have","Nên có","Could-have","Có thể có",'Main Core Flow Mapping'!H30))</f>
        <v/>
      </c>
      <c r="I29" s="42" t="str">
        <f>IF('Main Core Flow Mapping'!I30="","",'Main Core Flow Mapping'!I30)</f>
        <v/>
      </c>
      <c r="J29" s="42" t="str">
        <f>IFERROR(__xludf.DUMMYFUNCTION("IF('Main Core Flow Mapping'!J30="""","""",IFERROR(GOOGLETRANSLATE('Main Core Flow Mapping'!J30,""en"",""vi""),'Main Core Flow Mapping'!J30))"),"")</f>
        <v/>
      </c>
    </row>
    <row r="30">
      <c r="A30" s="42" t="str">
        <f>IF('Main Core Flow Mapping'!A31="","",'Main Core Flow Mapping'!A31)</f>
        <v/>
      </c>
      <c r="B30" s="42" t="str">
        <f>IFERROR(__xludf.DUMMYFUNCTION("IF('Main Core Flow Mapping'!B31="""","""",IFERROR(GOOGLETRANSLATE('Main Core Flow Mapping'!B31,""en"",""vi""),'Main Core Flow Mapping'!B31))"),"")</f>
        <v/>
      </c>
      <c r="C30" s="42" t="str">
        <f>IF('Main Core Flow Mapping'!C31="","",SWITCH('Main Core Flow Mapping'!C31,"Core","Luồng chính","Supporting","Luồng hỗ trợ",'Main Core Flow Mapping'!C31))</f>
        <v/>
      </c>
      <c r="D30" s="42" t="str">
        <f>IFERROR(__xludf.DUMMYFUNCTION("IF('Main Core Flow Mapping'!D31="""","""",IFERROR(GOOGLETRANSLATE('Main Core Flow Mapping'!D31,""en"",""vi""),'Main Core Flow Mapping'!D31))"),"")</f>
        <v/>
      </c>
      <c r="E30" s="42" t="str">
        <f>IF('Main Core Flow Mapping'!E31="","",'Main Core Flow Mapping'!E31)</f>
        <v/>
      </c>
      <c r="F30" s="42" t="str">
        <f>IFERROR(__xludf.DUMMYFUNCTION("IF('Main Core Flow Mapping'!F31="""","""",IFERROR(GOOGLETRANSLATE('Main Core Flow Mapping'!F31,""en"",""vi""),'Main Core Flow Mapping'!F31))"),"")</f>
        <v/>
      </c>
      <c r="G30" s="42" t="str">
        <f>IFERROR(__xludf.DUMMYFUNCTION("IF('Main Core Flow Mapping'!G31="""","""",IFERROR(GOOGLETRANSLATE('Main Core Flow Mapping'!G31,""en"",""vi""),'Main Core Flow Mapping'!G31))"),"")</f>
        <v/>
      </c>
      <c r="H30" s="42" t="str">
        <f>IF('Main Core Flow Mapping'!H31="","",SWITCH('Main Core Flow Mapping'!H31,"Must-have","Bắt buộc","Should-have","Nên có","Could-have","Có thể có",'Main Core Flow Mapping'!H31))</f>
        <v/>
      </c>
      <c r="I30" s="42" t="str">
        <f>IF('Main Core Flow Mapping'!I31="","",'Main Core Flow Mapping'!I31)</f>
        <v/>
      </c>
      <c r="J30" s="42" t="str">
        <f>IFERROR(__xludf.DUMMYFUNCTION("IF('Main Core Flow Mapping'!J31="""","""",IFERROR(GOOGLETRANSLATE('Main Core Flow Mapping'!J31,""en"",""vi""),'Main Core Flow Mapping'!J31))"),"")</f>
        <v/>
      </c>
    </row>
    <row r="31">
      <c r="A31" s="42" t="str">
        <f>IF('Main Core Flow Mapping'!A32="","",'Main Core Flow Mapping'!A32)</f>
        <v/>
      </c>
      <c r="B31" s="42" t="str">
        <f>IFERROR(__xludf.DUMMYFUNCTION("IF('Main Core Flow Mapping'!B32="""","""",IFERROR(GOOGLETRANSLATE('Main Core Flow Mapping'!B32,""en"",""vi""),'Main Core Flow Mapping'!B32))"),"")</f>
        <v/>
      </c>
      <c r="C31" s="42" t="str">
        <f>IF('Main Core Flow Mapping'!C32="","",SWITCH('Main Core Flow Mapping'!C32,"Core","Luồng chính","Supporting","Luồng hỗ trợ",'Main Core Flow Mapping'!C32))</f>
        <v/>
      </c>
      <c r="D31" s="42" t="str">
        <f>IFERROR(__xludf.DUMMYFUNCTION("IF('Main Core Flow Mapping'!D32="""","""",IFERROR(GOOGLETRANSLATE('Main Core Flow Mapping'!D32,""en"",""vi""),'Main Core Flow Mapping'!D32))"),"")</f>
        <v/>
      </c>
      <c r="E31" s="42" t="str">
        <f>IF('Main Core Flow Mapping'!E32="","",'Main Core Flow Mapping'!E32)</f>
        <v/>
      </c>
      <c r="F31" s="42" t="str">
        <f>IFERROR(__xludf.DUMMYFUNCTION("IF('Main Core Flow Mapping'!F32="""","""",IFERROR(GOOGLETRANSLATE('Main Core Flow Mapping'!F32,""en"",""vi""),'Main Core Flow Mapping'!F32))"),"")</f>
        <v/>
      </c>
      <c r="G31" s="42" t="str">
        <f>IFERROR(__xludf.DUMMYFUNCTION("IF('Main Core Flow Mapping'!G32="""","""",IFERROR(GOOGLETRANSLATE('Main Core Flow Mapping'!G32,""en"",""vi""),'Main Core Flow Mapping'!G32))"),"")</f>
        <v/>
      </c>
      <c r="H31" s="42" t="str">
        <f>IF('Main Core Flow Mapping'!H32="","",SWITCH('Main Core Flow Mapping'!H32,"Must-have","Bắt buộc","Should-have","Nên có","Could-have","Có thể có",'Main Core Flow Mapping'!H32))</f>
        <v/>
      </c>
      <c r="I31" s="42" t="str">
        <f>IF('Main Core Flow Mapping'!I32="","",'Main Core Flow Mapping'!I32)</f>
        <v/>
      </c>
      <c r="J31" s="42" t="str">
        <f>IFERROR(__xludf.DUMMYFUNCTION("IF('Main Core Flow Mapping'!J32="""","""",IFERROR(GOOGLETRANSLATE('Main Core Flow Mapping'!J32,""en"",""vi""),'Main Core Flow Mapping'!J32))"),"")</f>
        <v/>
      </c>
    </row>
    <row r="32">
      <c r="A32" s="42" t="str">
        <f>IF('Main Core Flow Mapping'!A33="","",'Main Core Flow Mapping'!A33)</f>
        <v/>
      </c>
      <c r="B32" s="42" t="str">
        <f>IFERROR(__xludf.DUMMYFUNCTION("IF('Main Core Flow Mapping'!B33="""","""",IFERROR(GOOGLETRANSLATE('Main Core Flow Mapping'!B33,""en"",""vi""),'Main Core Flow Mapping'!B33))"),"")</f>
        <v/>
      </c>
      <c r="C32" s="42" t="str">
        <f>IF('Main Core Flow Mapping'!C33="","",SWITCH('Main Core Flow Mapping'!C33,"Core","Luồng chính","Supporting","Luồng hỗ trợ",'Main Core Flow Mapping'!C33))</f>
        <v/>
      </c>
      <c r="D32" s="42" t="str">
        <f>IFERROR(__xludf.DUMMYFUNCTION("IF('Main Core Flow Mapping'!D33="""","""",IFERROR(GOOGLETRANSLATE('Main Core Flow Mapping'!D33,""en"",""vi""),'Main Core Flow Mapping'!D33))"),"")</f>
        <v/>
      </c>
      <c r="E32" s="42" t="str">
        <f>IF('Main Core Flow Mapping'!E33="","",'Main Core Flow Mapping'!E33)</f>
        <v/>
      </c>
      <c r="F32" s="42" t="str">
        <f>IFERROR(__xludf.DUMMYFUNCTION("IF('Main Core Flow Mapping'!F33="""","""",IFERROR(GOOGLETRANSLATE('Main Core Flow Mapping'!F33,""en"",""vi""),'Main Core Flow Mapping'!F33))"),"")</f>
        <v/>
      </c>
      <c r="G32" s="42" t="str">
        <f>IFERROR(__xludf.DUMMYFUNCTION("IF('Main Core Flow Mapping'!G33="""","""",IFERROR(GOOGLETRANSLATE('Main Core Flow Mapping'!G33,""en"",""vi""),'Main Core Flow Mapping'!G33))"),"")</f>
        <v/>
      </c>
      <c r="H32" s="42" t="str">
        <f>IF('Main Core Flow Mapping'!H33="","",SWITCH('Main Core Flow Mapping'!H33,"Must-have","Bắt buộc","Should-have","Nên có","Could-have","Có thể có",'Main Core Flow Mapping'!H33))</f>
        <v/>
      </c>
      <c r="I32" s="42" t="str">
        <f>IF('Main Core Flow Mapping'!I33="","",'Main Core Flow Mapping'!I33)</f>
        <v/>
      </c>
      <c r="J32" s="42" t="str">
        <f>IFERROR(__xludf.DUMMYFUNCTION("IF('Main Core Flow Mapping'!J33="""","""",IFERROR(GOOGLETRANSLATE('Main Core Flow Mapping'!J33,""en"",""vi""),'Main Core Flow Mapping'!J33))"),"")</f>
        <v/>
      </c>
    </row>
    <row r="33">
      <c r="A33" s="42" t="str">
        <f>IF('Main Core Flow Mapping'!A34="","",'Main Core Flow Mapping'!A34)</f>
        <v/>
      </c>
      <c r="B33" s="42" t="str">
        <f>IFERROR(__xludf.DUMMYFUNCTION("IF('Main Core Flow Mapping'!B34="""","""",IFERROR(GOOGLETRANSLATE('Main Core Flow Mapping'!B34,""en"",""vi""),'Main Core Flow Mapping'!B34))"),"")</f>
        <v/>
      </c>
      <c r="C33" s="42" t="str">
        <f>IF('Main Core Flow Mapping'!C34="","",SWITCH('Main Core Flow Mapping'!C34,"Core","Luồng chính","Supporting","Luồng hỗ trợ",'Main Core Flow Mapping'!C34))</f>
        <v/>
      </c>
      <c r="D33" s="42" t="str">
        <f>IFERROR(__xludf.DUMMYFUNCTION("IF('Main Core Flow Mapping'!D34="""","""",IFERROR(GOOGLETRANSLATE('Main Core Flow Mapping'!D34,""en"",""vi""),'Main Core Flow Mapping'!D34))"),"")</f>
        <v/>
      </c>
      <c r="E33" s="42" t="str">
        <f>IF('Main Core Flow Mapping'!E34="","",'Main Core Flow Mapping'!E34)</f>
        <v/>
      </c>
      <c r="F33" s="42" t="str">
        <f>IFERROR(__xludf.DUMMYFUNCTION("IF('Main Core Flow Mapping'!F34="""","""",IFERROR(GOOGLETRANSLATE('Main Core Flow Mapping'!F34,""en"",""vi""),'Main Core Flow Mapping'!F34))"),"")</f>
        <v/>
      </c>
      <c r="G33" s="42" t="str">
        <f>IFERROR(__xludf.DUMMYFUNCTION("IF('Main Core Flow Mapping'!G34="""","""",IFERROR(GOOGLETRANSLATE('Main Core Flow Mapping'!G34,""en"",""vi""),'Main Core Flow Mapping'!G34))"),"")</f>
        <v/>
      </c>
      <c r="H33" s="42" t="str">
        <f>IF('Main Core Flow Mapping'!H34="","",SWITCH('Main Core Flow Mapping'!H34,"Must-have","Bắt buộc","Should-have","Nên có","Could-have","Có thể có",'Main Core Flow Mapping'!H34))</f>
        <v/>
      </c>
      <c r="I33" s="42" t="str">
        <f>IF('Main Core Flow Mapping'!I34="","",'Main Core Flow Mapping'!I34)</f>
        <v/>
      </c>
      <c r="J33" s="42" t="str">
        <f>IFERROR(__xludf.DUMMYFUNCTION("IF('Main Core Flow Mapping'!J34="""","""",IFERROR(GOOGLETRANSLATE('Main Core Flow Mapping'!J34,""en"",""vi""),'Main Core Flow Mapping'!J34))"),"")</f>
        <v/>
      </c>
    </row>
    <row r="34">
      <c r="A34" s="42" t="str">
        <f>IF('Main Core Flow Mapping'!A35="","",'Main Core Flow Mapping'!A35)</f>
        <v/>
      </c>
      <c r="B34" s="42" t="str">
        <f>IFERROR(__xludf.DUMMYFUNCTION("IF('Main Core Flow Mapping'!B35="""","""",IFERROR(GOOGLETRANSLATE('Main Core Flow Mapping'!B35,""en"",""vi""),'Main Core Flow Mapping'!B35))"),"")</f>
        <v/>
      </c>
      <c r="C34" s="42" t="str">
        <f>IF('Main Core Flow Mapping'!C35="","",SWITCH('Main Core Flow Mapping'!C35,"Core","Luồng chính","Supporting","Luồng hỗ trợ",'Main Core Flow Mapping'!C35))</f>
        <v/>
      </c>
      <c r="D34" s="42" t="str">
        <f>IFERROR(__xludf.DUMMYFUNCTION("IF('Main Core Flow Mapping'!D35="""","""",IFERROR(GOOGLETRANSLATE('Main Core Flow Mapping'!D35,""en"",""vi""),'Main Core Flow Mapping'!D35))"),"")</f>
        <v/>
      </c>
      <c r="E34" s="42" t="str">
        <f>IF('Main Core Flow Mapping'!E35="","",'Main Core Flow Mapping'!E35)</f>
        <v/>
      </c>
      <c r="F34" s="42" t="str">
        <f>IFERROR(__xludf.DUMMYFUNCTION("IF('Main Core Flow Mapping'!F35="""","""",IFERROR(GOOGLETRANSLATE('Main Core Flow Mapping'!F35,""en"",""vi""),'Main Core Flow Mapping'!F35))"),"")</f>
        <v/>
      </c>
      <c r="G34" s="42" t="str">
        <f>IFERROR(__xludf.DUMMYFUNCTION("IF('Main Core Flow Mapping'!G35="""","""",IFERROR(GOOGLETRANSLATE('Main Core Flow Mapping'!G35,""en"",""vi""),'Main Core Flow Mapping'!G35))"),"")</f>
        <v/>
      </c>
      <c r="H34" s="42" t="str">
        <f>IF('Main Core Flow Mapping'!H35="","",SWITCH('Main Core Flow Mapping'!H35,"Must-have","Bắt buộc","Should-have","Nên có","Could-have","Có thể có",'Main Core Flow Mapping'!H35))</f>
        <v/>
      </c>
      <c r="I34" s="42" t="str">
        <f>IF('Main Core Flow Mapping'!I35="","",'Main Core Flow Mapping'!I35)</f>
        <v/>
      </c>
      <c r="J34" s="42" t="str">
        <f>IFERROR(__xludf.DUMMYFUNCTION("IF('Main Core Flow Mapping'!J35="""","""",IFERROR(GOOGLETRANSLATE('Main Core Flow Mapping'!J35,""en"",""vi""),'Main Core Flow Mapping'!J35))"),"")</f>
        <v/>
      </c>
    </row>
    <row r="35">
      <c r="A35" s="42" t="str">
        <f>IF('Main Core Flow Mapping'!A36="","",'Main Core Flow Mapping'!A36)</f>
        <v/>
      </c>
      <c r="B35" s="42" t="str">
        <f>IFERROR(__xludf.DUMMYFUNCTION("IF('Main Core Flow Mapping'!B36="""","""",IFERROR(GOOGLETRANSLATE('Main Core Flow Mapping'!B36,""en"",""vi""),'Main Core Flow Mapping'!B36))"),"")</f>
        <v/>
      </c>
      <c r="C35" s="42" t="str">
        <f>IF('Main Core Flow Mapping'!C36="","",SWITCH('Main Core Flow Mapping'!C36,"Core","Luồng chính","Supporting","Luồng hỗ trợ",'Main Core Flow Mapping'!C36))</f>
        <v/>
      </c>
      <c r="D35" s="42" t="str">
        <f>IFERROR(__xludf.DUMMYFUNCTION("IF('Main Core Flow Mapping'!D36="""","""",IFERROR(GOOGLETRANSLATE('Main Core Flow Mapping'!D36,""en"",""vi""),'Main Core Flow Mapping'!D36))"),"")</f>
        <v/>
      </c>
      <c r="E35" s="42" t="str">
        <f>IF('Main Core Flow Mapping'!E36="","",'Main Core Flow Mapping'!E36)</f>
        <v/>
      </c>
      <c r="F35" s="42" t="str">
        <f>IFERROR(__xludf.DUMMYFUNCTION("IF('Main Core Flow Mapping'!F36="""","""",IFERROR(GOOGLETRANSLATE('Main Core Flow Mapping'!F36,""en"",""vi""),'Main Core Flow Mapping'!F36))"),"")</f>
        <v/>
      </c>
      <c r="G35" s="42" t="str">
        <f>IFERROR(__xludf.DUMMYFUNCTION("IF('Main Core Flow Mapping'!G36="""","""",IFERROR(GOOGLETRANSLATE('Main Core Flow Mapping'!G36,""en"",""vi""),'Main Core Flow Mapping'!G36))"),"")</f>
        <v/>
      </c>
      <c r="H35" s="42" t="str">
        <f>IF('Main Core Flow Mapping'!H36="","",SWITCH('Main Core Flow Mapping'!H36,"Must-have","Bắt buộc","Should-have","Nên có","Could-have","Có thể có",'Main Core Flow Mapping'!H36))</f>
        <v/>
      </c>
      <c r="I35" s="42" t="str">
        <f>IF('Main Core Flow Mapping'!I36="","",'Main Core Flow Mapping'!I36)</f>
        <v/>
      </c>
      <c r="J35" s="42" t="str">
        <f>IFERROR(__xludf.DUMMYFUNCTION("IF('Main Core Flow Mapping'!J36="""","""",IFERROR(GOOGLETRANSLATE('Main Core Flow Mapping'!J36,""en"",""vi""),'Main Core Flow Mapping'!J36))"),"")</f>
        <v/>
      </c>
    </row>
    <row r="36">
      <c r="A36" s="42" t="str">
        <f>IF('Main Core Flow Mapping'!A37="","",'Main Core Flow Mapping'!A37)</f>
        <v/>
      </c>
      <c r="B36" s="42" t="str">
        <f>IFERROR(__xludf.DUMMYFUNCTION("IF('Main Core Flow Mapping'!B37="""","""",IFERROR(GOOGLETRANSLATE('Main Core Flow Mapping'!B37,""en"",""vi""),'Main Core Flow Mapping'!B37))"),"")</f>
        <v/>
      </c>
      <c r="C36" s="42" t="str">
        <f>IF('Main Core Flow Mapping'!C37="","",SWITCH('Main Core Flow Mapping'!C37,"Core","Luồng chính","Supporting","Luồng hỗ trợ",'Main Core Flow Mapping'!C37))</f>
        <v/>
      </c>
      <c r="D36" s="42" t="str">
        <f>IFERROR(__xludf.DUMMYFUNCTION("IF('Main Core Flow Mapping'!D37="""","""",IFERROR(GOOGLETRANSLATE('Main Core Flow Mapping'!D37,""en"",""vi""),'Main Core Flow Mapping'!D37))"),"")</f>
        <v/>
      </c>
      <c r="E36" s="42" t="str">
        <f>IF('Main Core Flow Mapping'!E37="","",'Main Core Flow Mapping'!E37)</f>
        <v/>
      </c>
      <c r="F36" s="42" t="str">
        <f>IFERROR(__xludf.DUMMYFUNCTION("IF('Main Core Flow Mapping'!F37="""","""",IFERROR(GOOGLETRANSLATE('Main Core Flow Mapping'!F37,""en"",""vi""),'Main Core Flow Mapping'!F37))"),"")</f>
        <v/>
      </c>
      <c r="G36" s="42" t="str">
        <f>IFERROR(__xludf.DUMMYFUNCTION("IF('Main Core Flow Mapping'!G37="""","""",IFERROR(GOOGLETRANSLATE('Main Core Flow Mapping'!G37,""en"",""vi""),'Main Core Flow Mapping'!G37))"),"")</f>
        <v/>
      </c>
      <c r="H36" s="42" t="str">
        <f>IF('Main Core Flow Mapping'!H37="","",SWITCH('Main Core Flow Mapping'!H37,"Must-have","Bắt buộc","Should-have","Nên có","Could-have","Có thể có",'Main Core Flow Mapping'!H37))</f>
        <v/>
      </c>
      <c r="I36" s="42" t="str">
        <f>IF('Main Core Flow Mapping'!I37="","",'Main Core Flow Mapping'!I37)</f>
        <v/>
      </c>
      <c r="J36" s="42" t="str">
        <f>IFERROR(__xludf.DUMMYFUNCTION("IF('Main Core Flow Mapping'!J37="""","""",IFERROR(GOOGLETRANSLATE('Main Core Flow Mapping'!J37,""en"",""vi""),'Main Core Flow Mapping'!J37))"),"")</f>
        <v/>
      </c>
    </row>
    <row r="37">
      <c r="A37" s="42" t="str">
        <f>IF('Main Core Flow Mapping'!A38="","",'Main Core Flow Mapping'!A38)</f>
        <v/>
      </c>
      <c r="B37" s="42" t="str">
        <f>IFERROR(__xludf.DUMMYFUNCTION("IF('Main Core Flow Mapping'!B38="""","""",IFERROR(GOOGLETRANSLATE('Main Core Flow Mapping'!B38,""en"",""vi""),'Main Core Flow Mapping'!B38))"),"")</f>
        <v/>
      </c>
      <c r="C37" s="42" t="str">
        <f>IF('Main Core Flow Mapping'!C38="","",SWITCH('Main Core Flow Mapping'!C38,"Core","Luồng chính","Supporting","Luồng hỗ trợ",'Main Core Flow Mapping'!C38))</f>
        <v/>
      </c>
      <c r="D37" s="42" t="str">
        <f>IFERROR(__xludf.DUMMYFUNCTION("IF('Main Core Flow Mapping'!D38="""","""",IFERROR(GOOGLETRANSLATE('Main Core Flow Mapping'!D38,""en"",""vi""),'Main Core Flow Mapping'!D38))"),"")</f>
        <v/>
      </c>
      <c r="E37" s="42" t="str">
        <f>IF('Main Core Flow Mapping'!E38="","",'Main Core Flow Mapping'!E38)</f>
        <v/>
      </c>
      <c r="F37" s="42" t="str">
        <f>IFERROR(__xludf.DUMMYFUNCTION("IF('Main Core Flow Mapping'!F38="""","""",IFERROR(GOOGLETRANSLATE('Main Core Flow Mapping'!F38,""en"",""vi""),'Main Core Flow Mapping'!F38))"),"")</f>
        <v/>
      </c>
      <c r="G37" s="42" t="str">
        <f>IFERROR(__xludf.DUMMYFUNCTION("IF('Main Core Flow Mapping'!G38="""","""",IFERROR(GOOGLETRANSLATE('Main Core Flow Mapping'!G38,""en"",""vi""),'Main Core Flow Mapping'!G38))"),"")</f>
        <v/>
      </c>
      <c r="H37" s="42" t="str">
        <f>IF('Main Core Flow Mapping'!H38="","",SWITCH('Main Core Flow Mapping'!H38,"Must-have","Bắt buộc","Should-have","Nên có","Could-have","Có thể có",'Main Core Flow Mapping'!H38))</f>
        <v/>
      </c>
      <c r="I37" s="42" t="str">
        <f>IF('Main Core Flow Mapping'!I38="","",'Main Core Flow Mapping'!I38)</f>
        <v/>
      </c>
      <c r="J37" s="42" t="str">
        <f>IFERROR(__xludf.DUMMYFUNCTION("IF('Main Core Flow Mapping'!J38="""","""",IFERROR(GOOGLETRANSLATE('Main Core Flow Mapping'!J38,""en"",""vi""),'Main Core Flow Mapping'!J38))"),"")</f>
        <v/>
      </c>
    </row>
    <row r="38">
      <c r="A38" s="42" t="str">
        <f>IF('Main Core Flow Mapping'!A39="","",'Main Core Flow Mapping'!A39)</f>
        <v/>
      </c>
      <c r="B38" s="42" t="str">
        <f>IFERROR(__xludf.DUMMYFUNCTION("IF('Main Core Flow Mapping'!B39="""","""",IFERROR(GOOGLETRANSLATE('Main Core Flow Mapping'!B39,""en"",""vi""),'Main Core Flow Mapping'!B39))"),"")</f>
        <v/>
      </c>
      <c r="C38" s="42" t="str">
        <f>IF('Main Core Flow Mapping'!C39="","",SWITCH('Main Core Flow Mapping'!C39,"Core","Luồng chính","Supporting","Luồng hỗ trợ",'Main Core Flow Mapping'!C39))</f>
        <v/>
      </c>
      <c r="D38" s="42" t="str">
        <f>IFERROR(__xludf.DUMMYFUNCTION("IF('Main Core Flow Mapping'!D39="""","""",IFERROR(GOOGLETRANSLATE('Main Core Flow Mapping'!D39,""en"",""vi""),'Main Core Flow Mapping'!D39))"),"")</f>
        <v/>
      </c>
      <c r="E38" s="42" t="str">
        <f>IF('Main Core Flow Mapping'!E39="","",'Main Core Flow Mapping'!E39)</f>
        <v/>
      </c>
      <c r="F38" s="42" t="str">
        <f>IFERROR(__xludf.DUMMYFUNCTION("IF('Main Core Flow Mapping'!F39="""","""",IFERROR(GOOGLETRANSLATE('Main Core Flow Mapping'!F39,""en"",""vi""),'Main Core Flow Mapping'!F39))"),"")</f>
        <v/>
      </c>
      <c r="G38" s="42" t="str">
        <f>IFERROR(__xludf.DUMMYFUNCTION("IF('Main Core Flow Mapping'!G39="""","""",IFERROR(GOOGLETRANSLATE('Main Core Flow Mapping'!G39,""en"",""vi""),'Main Core Flow Mapping'!G39))"),"")</f>
        <v/>
      </c>
      <c r="H38" s="42" t="str">
        <f>IF('Main Core Flow Mapping'!H39="","",SWITCH('Main Core Flow Mapping'!H39,"Must-have","Bắt buộc","Should-have","Nên có","Could-have","Có thể có",'Main Core Flow Mapping'!H39))</f>
        <v/>
      </c>
      <c r="I38" s="42" t="str">
        <f>IF('Main Core Flow Mapping'!I39="","",'Main Core Flow Mapping'!I39)</f>
        <v/>
      </c>
      <c r="J38" s="42" t="str">
        <f>IFERROR(__xludf.DUMMYFUNCTION("IF('Main Core Flow Mapping'!J39="""","""",IFERROR(GOOGLETRANSLATE('Main Core Flow Mapping'!J39,""en"",""vi""),'Main Core Flow Mapping'!J39))"),"")</f>
        <v/>
      </c>
    </row>
    <row r="39">
      <c r="A39" s="42" t="str">
        <f>IF('Main Core Flow Mapping'!A40="","",'Main Core Flow Mapping'!A40)</f>
        <v/>
      </c>
      <c r="B39" s="42" t="str">
        <f>IFERROR(__xludf.DUMMYFUNCTION("IF('Main Core Flow Mapping'!B40="""","""",IFERROR(GOOGLETRANSLATE('Main Core Flow Mapping'!B40,""en"",""vi""),'Main Core Flow Mapping'!B40))"),"")</f>
        <v/>
      </c>
      <c r="C39" s="42" t="str">
        <f>IF('Main Core Flow Mapping'!C40="","",SWITCH('Main Core Flow Mapping'!C40,"Core","Luồng chính","Supporting","Luồng hỗ trợ",'Main Core Flow Mapping'!C40))</f>
        <v/>
      </c>
      <c r="D39" s="42" t="str">
        <f>IFERROR(__xludf.DUMMYFUNCTION("IF('Main Core Flow Mapping'!D40="""","""",IFERROR(GOOGLETRANSLATE('Main Core Flow Mapping'!D40,""en"",""vi""),'Main Core Flow Mapping'!D40))"),"")</f>
        <v/>
      </c>
      <c r="E39" s="42" t="str">
        <f>IF('Main Core Flow Mapping'!E40="","",'Main Core Flow Mapping'!E40)</f>
        <v/>
      </c>
      <c r="F39" s="42" t="str">
        <f>IFERROR(__xludf.DUMMYFUNCTION("IF('Main Core Flow Mapping'!F40="""","""",IFERROR(GOOGLETRANSLATE('Main Core Flow Mapping'!F40,""en"",""vi""),'Main Core Flow Mapping'!F40))"),"")</f>
        <v/>
      </c>
      <c r="G39" s="42" t="str">
        <f>IFERROR(__xludf.DUMMYFUNCTION("IF('Main Core Flow Mapping'!G40="""","""",IFERROR(GOOGLETRANSLATE('Main Core Flow Mapping'!G40,""en"",""vi""),'Main Core Flow Mapping'!G40))"),"")</f>
        <v/>
      </c>
      <c r="H39" s="42" t="str">
        <f>IF('Main Core Flow Mapping'!H40="","",SWITCH('Main Core Flow Mapping'!H40,"Must-have","Bắt buộc","Should-have","Nên có","Could-have","Có thể có",'Main Core Flow Mapping'!H40))</f>
        <v/>
      </c>
      <c r="I39" s="42" t="str">
        <f>IF('Main Core Flow Mapping'!I40="","",'Main Core Flow Mapping'!I40)</f>
        <v/>
      </c>
      <c r="J39" s="42" t="str">
        <f>IFERROR(__xludf.DUMMYFUNCTION("IF('Main Core Flow Mapping'!J40="""","""",IFERROR(GOOGLETRANSLATE('Main Core Flow Mapping'!J40,""en"",""vi""),'Main Core Flow Mapping'!J40))"),"")</f>
        <v/>
      </c>
    </row>
    <row r="40">
      <c r="A40" s="42" t="str">
        <f>IF('Main Core Flow Mapping'!A41="","",'Main Core Flow Mapping'!A41)</f>
        <v/>
      </c>
      <c r="B40" s="42" t="str">
        <f>IFERROR(__xludf.DUMMYFUNCTION("IF('Main Core Flow Mapping'!B41="""","""",IFERROR(GOOGLETRANSLATE('Main Core Flow Mapping'!B41,""en"",""vi""),'Main Core Flow Mapping'!B41))"),"")</f>
        <v/>
      </c>
      <c r="C40" s="42" t="str">
        <f>IF('Main Core Flow Mapping'!C41="","",SWITCH('Main Core Flow Mapping'!C41,"Core","Luồng chính","Supporting","Luồng hỗ trợ",'Main Core Flow Mapping'!C41))</f>
        <v/>
      </c>
      <c r="D40" s="42" t="str">
        <f>IFERROR(__xludf.DUMMYFUNCTION("IF('Main Core Flow Mapping'!D41="""","""",IFERROR(GOOGLETRANSLATE('Main Core Flow Mapping'!D41,""en"",""vi""),'Main Core Flow Mapping'!D41))"),"")</f>
        <v/>
      </c>
      <c r="E40" s="42" t="str">
        <f>IF('Main Core Flow Mapping'!E41="","",'Main Core Flow Mapping'!E41)</f>
        <v/>
      </c>
      <c r="F40" s="42" t="str">
        <f>IFERROR(__xludf.DUMMYFUNCTION("IF('Main Core Flow Mapping'!F41="""","""",IFERROR(GOOGLETRANSLATE('Main Core Flow Mapping'!F41,""en"",""vi""),'Main Core Flow Mapping'!F41))"),"")</f>
        <v/>
      </c>
      <c r="G40" s="42" t="str">
        <f>IFERROR(__xludf.DUMMYFUNCTION("IF('Main Core Flow Mapping'!G41="""","""",IFERROR(GOOGLETRANSLATE('Main Core Flow Mapping'!G41,""en"",""vi""),'Main Core Flow Mapping'!G41))"),"")</f>
        <v/>
      </c>
      <c r="H40" s="42" t="str">
        <f>IF('Main Core Flow Mapping'!H41="","",SWITCH('Main Core Flow Mapping'!H41,"Must-have","Bắt buộc","Should-have","Nên có","Could-have","Có thể có",'Main Core Flow Mapping'!H41))</f>
        <v/>
      </c>
      <c r="I40" s="42" t="str">
        <f>IF('Main Core Flow Mapping'!I41="","",'Main Core Flow Mapping'!I41)</f>
        <v/>
      </c>
      <c r="J40" s="42" t="str">
        <f>IFERROR(__xludf.DUMMYFUNCTION("IF('Main Core Flow Mapping'!J41="""","""",IFERROR(GOOGLETRANSLATE('Main Core Flow Mapping'!J41,""en"",""vi""),'Main Core Flow Mapping'!J41))"),"")</f>
        <v/>
      </c>
    </row>
    <row r="41">
      <c r="A41" s="42" t="str">
        <f>IF('Main Core Flow Mapping'!A42="","",'Main Core Flow Mapping'!A42)</f>
        <v/>
      </c>
      <c r="B41" s="42" t="str">
        <f>IFERROR(__xludf.DUMMYFUNCTION("IF('Main Core Flow Mapping'!B42="""","""",IFERROR(GOOGLETRANSLATE('Main Core Flow Mapping'!B42,""en"",""vi""),'Main Core Flow Mapping'!B42))"),"")</f>
        <v/>
      </c>
      <c r="C41" s="42" t="str">
        <f>IF('Main Core Flow Mapping'!C42="","",SWITCH('Main Core Flow Mapping'!C42,"Core","Luồng chính","Supporting","Luồng hỗ trợ",'Main Core Flow Mapping'!C42))</f>
        <v/>
      </c>
      <c r="D41" s="42" t="str">
        <f>IFERROR(__xludf.DUMMYFUNCTION("IF('Main Core Flow Mapping'!D42="""","""",IFERROR(GOOGLETRANSLATE('Main Core Flow Mapping'!D42,""en"",""vi""),'Main Core Flow Mapping'!D42))"),"")</f>
        <v/>
      </c>
      <c r="E41" s="42" t="str">
        <f>IF('Main Core Flow Mapping'!E42="","",'Main Core Flow Mapping'!E42)</f>
        <v/>
      </c>
      <c r="F41" s="42" t="str">
        <f>IFERROR(__xludf.DUMMYFUNCTION("IF('Main Core Flow Mapping'!F42="""","""",IFERROR(GOOGLETRANSLATE('Main Core Flow Mapping'!F42,""en"",""vi""),'Main Core Flow Mapping'!F42))"),"")</f>
        <v/>
      </c>
      <c r="G41" s="42" t="str">
        <f>IFERROR(__xludf.DUMMYFUNCTION("IF('Main Core Flow Mapping'!G42="""","""",IFERROR(GOOGLETRANSLATE('Main Core Flow Mapping'!G42,""en"",""vi""),'Main Core Flow Mapping'!G42))"),"")</f>
        <v/>
      </c>
      <c r="H41" s="42" t="str">
        <f>IF('Main Core Flow Mapping'!H42="","",SWITCH('Main Core Flow Mapping'!H42,"Must-have","Bắt buộc","Should-have","Nên có","Could-have","Có thể có",'Main Core Flow Mapping'!H42))</f>
        <v/>
      </c>
      <c r="I41" s="42" t="str">
        <f>IF('Main Core Flow Mapping'!I42="","",'Main Core Flow Mapping'!I42)</f>
        <v/>
      </c>
      <c r="J41" s="42" t="str">
        <f>IFERROR(__xludf.DUMMYFUNCTION("IF('Main Core Flow Mapping'!J42="""","""",IFERROR(GOOGLETRANSLATE('Main Core Flow Mapping'!J42,""en"",""vi""),'Main Core Flow Mapping'!J42))"),"")</f>
        <v/>
      </c>
    </row>
    <row r="42">
      <c r="A42" s="42" t="str">
        <f>IF('Main Core Flow Mapping'!A43="","",'Main Core Flow Mapping'!A43)</f>
        <v/>
      </c>
      <c r="B42" s="42" t="str">
        <f>IFERROR(__xludf.DUMMYFUNCTION("IF('Main Core Flow Mapping'!B43="""","""",IFERROR(GOOGLETRANSLATE('Main Core Flow Mapping'!B43,""en"",""vi""),'Main Core Flow Mapping'!B43))"),"")</f>
        <v/>
      </c>
      <c r="C42" s="42" t="str">
        <f>IF('Main Core Flow Mapping'!C43="","",SWITCH('Main Core Flow Mapping'!C43,"Core","Luồng chính","Supporting","Luồng hỗ trợ",'Main Core Flow Mapping'!C43))</f>
        <v/>
      </c>
      <c r="D42" s="42" t="str">
        <f>IFERROR(__xludf.DUMMYFUNCTION("IF('Main Core Flow Mapping'!D43="""","""",IFERROR(GOOGLETRANSLATE('Main Core Flow Mapping'!D43,""en"",""vi""),'Main Core Flow Mapping'!D43))"),"")</f>
        <v/>
      </c>
      <c r="E42" s="42" t="str">
        <f>IF('Main Core Flow Mapping'!E43="","",'Main Core Flow Mapping'!E43)</f>
        <v/>
      </c>
      <c r="F42" s="42" t="str">
        <f>IFERROR(__xludf.DUMMYFUNCTION("IF('Main Core Flow Mapping'!F43="""","""",IFERROR(GOOGLETRANSLATE('Main Core Flow Mapping'!F43,""en"",""vi""),'Main Core Flow Mapping'!F43))"),"")</f>
        <v/>
      </c>
      <c r="G42" s="42" t="str">
        <f>IFERROR(__xludf.DUMMYFUNCTION("IF('Main Core Flow Mapping'!G43="""","""",IFERROR(GOOGLETRANSLATE('Main Core Flow Mapping'!G43,""en"",""vi""),'Main Core Flow Mapping'!G43))"),"")</f>
        <v/>
      </c>
      <c r="H42" s="42" t="str">
        <f>IF('Main Core Flow Mapping'!H43="","",SWITCH('Main Core Flow Mapping'!H43,"Must-have","Bắt buộc","Should-have","Nên có","Could-have","Có thể có",'Main Core Flow Mapping'!H43))</f>
        <v/>
      </c>
      <c r="I42" s="42" t="str">
        <f>IF('Main Core Flow Mapping'!I43="","",'Main Core Flow Mapping'!I43)</f>
        <v/>
      </c>
      <c r="J42" s="42" t="str">
        <f>IFERROR(__xludf.DUMMYFUNCTION("IF('Main Core Flow Mapping'!J43="""","""",IFERROR(GOOGLETRANSLATE('Main Core Flow Mapping'!J43,""en"",""vi""),'Main Core Flow Mapping'!J43))"),"")</f>
        <v/>
      </c>
    </row>
    <row r="43">
      <c r="A43" s="42" t="str">
        <f>IF('Main Core Flow Mapping'!A44="","",'Main Core Flow Mapping'!A44)</f>
        <v/>
      </c>
      <c r="B43" s="42" t="str">
        <f>IFERROR(__xludf.DUMMYFUNCTION("IF('Main Core Flow Mapping'!B44="""","""",IFERROR(GOOGLETRANSLATE('Main Core Flow Mapping'!B44,""en"",""vi""),'Main Core Flow Mapping'!B44))"),"")</f>
        <v/>
      </c>
      <c r="C43" s="42" t="str">
        <f>IF('Main Core Flow Mapping'!C44="","",SWITCH('Main Core Flow Mapping'!C44,"Core","Luồng chính","Supporting","Luồng hỗ trợ",'Main Core Flow Mapping'!C44))</f>
        <v/>
      </c>
      <c r="D43" s="42" t="str">
        <f>IFERROR(__xludf.DUMMYFUNCTION("IF('Main Core Flow Mapping'!D44="""","""",IFERROR(GOOGLETRANSLATE('Main Core Flow Mapping'!D44,""en"",""vi""),'Main Core Flow Mapping'!D44))"),"")</f>
        <v/>
      </c>
      <c r="E43" s="42" t="str">
        <f>IF('Main Core Flow Mapping'!E44="","",'Main Core Flow Mapping'!E44)</f>
        <v/>
      </c>
      <c r="F43" s="42" t="str">
        <f>IFERROR(__xludf.DUMMYFUNCTION("IF('Main Core Flow Mapping'!F44="""","""",IFERROR(GOOGLETRANSLATE('Main Core Flow Mapping'!F44,""en"",""vi""),'Main Core Flow Mapping'!F44))"),"")</f>
        <v/>
      </c>
      <c r="G43" s="42" t="str">
        <f>IFERROR(__xludf.DUMMYFUNCTION("IF('Main Core Flow Mapping'!G44="""","""",IFERROR(GOOGLETRANSLATE('Main Core Flow Mapping'!G44,""en"",""vi""),'Main Core Flow Mapping'!G44))"),"")</f>
        <v/>
      </c>
      <c r="H43" s="42" t="str">
        <f>IF('Main Core Flow Mapping'!H44="","",SWITCH('Main Core Flow Mapping'!H44,"Must-have","Bắt buộc","Should-have","Nên có","Could-have","Có thể có",'Main Core Flow Mapping'!H44))</f>
        <v/>
      </c>
      <c r="I43" s="42" t="str">
        <f>IF('Main Core Flow Mapping'!I44="","",'Main Core Flow Mapping'!I44)</f>
        <v/>
      </c>
      <c r="J43" s="42" t="str">
        <f>IFERROR(__xludf.DUMMYFUNCTION("IF('Main Core Flow Mapping'!J44="""","""",IFERROR(GOOGLETRANSLATE('Main Core Flow Mapping'!J44,""en"",""vi""),'Main Core Flow Mapping'!J44))"),"")</f>
        <v/>
      </c>
    </row>
    <row r="44">
      <c r="A44" s="42" t="str">
        <f>IF('Main Core Flow Mapping'!A45="","",'Main Core Flow Mapping'!A45)</f>
        <v/>
      </c>
      <c r="B44" s="42" t="str">
        <f>IFERROR(__xludf.DUMMYFUNCTION("IF('Main Core Flow Mapping'!B45="""","""",IFERROR(GOOGLETRANSLATE('Main Core Flow Mapping'!B45,""en"",""vi""),'Main Core Flow Mapping'!B45))"),"")</f>
        <v/>
      </c>
      <c r="C44" s="42" t="str">
        <f>IF('Main Core Flow Mapping'!C45="","",SWITCH('Main Core Flow Mapping'!C45,"Core","Luồng chính","Supporting","Luồng hỗ trợ",'Main Core Flow Mapping'!C45))</f>
        <v/>
      </c>
      <c r="D44" s="42" t="str">
        <f>IFERROR(__xludf.DUMMYFUNCTION("IF('Main Core Flow Mapping'!D45="""","""",IFERROR(GOOGLETRANSLATE('Main Core Flow Mapping'!D45,""en"",""vi""),'Main Core Flow Mapping'!D45))"),"")</f>
        <v/>
      </c>
      <c r="E44" s="42" t="str">
        <f>IF('Main Core Flow Mapping'!E45="","",'Main Core Flow Mapping'!E45)</f>
        <v/>
      </c>
      <c r="F44" s="42" t="str">
        <f>IFERROR(__xludf.DUMMYFUNCTION("IF('Main Core Flow Mapping'!F45="""","""",IFERROR(GOOGLETRANSLATE('Main Core Flow Mapping'!F45,""en"",""vi""),'Main Core Flow Mapping'!F45))"),"")</f>
        <v/>
      </c>
      <c r="G44" s="42" t="str">
        <f>IFERROR(__xludf.DUMMYFUNCTION("IF('Main Core Flow Mapping'!G45="""","""",IFERROR(GOOGLETRANSLATE('Main Core Flow Mapping'!G45,""en"",""vi""),'Main Core Flow Mapping'!G45))"),"")</f>
        <v/>
      </c>
      <c r="H44" s="42" t="str">
        <f>IF('Main Core Flow Mapping'!H45="","",SWITCH('Main Core Flow Mapping'!H45,"Must-have","Bắt buộc","Should-have","Nên có","Could-have","Có thể có",'Main Core Flow Mapping'!H45))</f>
        <v/>
      </c>
      <c r="I44" s="42" t="str">
        <f>IF('Main Core Flow Mapping'!I45="","",'Main Core Flow Mapping'!I45)</f>
        <v/>
      </c>
      <c r="J44" s="42" t="str">
        <f>IFERROR(__xludf.DUMMYFUNCTION("IF('Main Core Flow Mapping'!J45="""","""",IFERROR(GOOGLETRANSLATE('Main Core Flow Mapping'!J45,""en"",""vi""),'Main Core Flow Mapping'!J45))"),"")</f>
        <v/>
      </c>
    </row>
    <row r="45">
      <c r="A45" s="42" t="str">
        <f>IF('Main Core Flow Mapping'!A46="","",'Main Core Flow Mapping'!A46)</f>
        <v/>
      </c>
      <c r="B45" s="42" t="str">
        <f>IFERROR(__xludf.DUMMYFUNCTION("IF('Main Core Flow Mapping'!B46="""","""",IFERROR(GOOGLETRANSLATE('Main Core Flow Mapping'!B46,""en"",""vi""),'Main Core Flow Mapping'!B46))"),"")</f>
        <v/>
      </c>
      <c r="C45" s="42" t="str">
        <f>IF('Main Core Flow Mapping'!C46="","",SWITCH('Main Core Flow Mapping'!C46,"Core","Luồng chính","Supporting","Luồng hỗ trợ",'Main Core Flow Mapping'!C46))</f>
        <v/>
      </c>
      <c r="D45" s="42" t="str">
        <f>IFERROR(__xludf.DUMMYFUNCTION("IF('Main Core Flow Mapping'!D46="""","""",IFERROR(GOOGLETRANSLATE('Main Core Flow Mapping'!D46,""en"",""vi""),'Main Core Flow Mapping'!D46))"),"")</f>
        <v/>
      </c>
      <c r="E45" s="42" t="str">
        <f>IF('Main Core Flow Mapping'!E46="","",'Main Core Flow Mapping'!E46)</f>
        <v/>
      </c>
      <c r="F45" s="42" t="str">
        <f>IFERROR(__xludf.DUMMYFUNCTION("IF('Main Core Flow Mapping'!F46="""","""",IFERROR(GOOGLETRANSLATE('Main Core Flow Mapping'!F46,""en"",""vi""),'Main Core Flow Mapping'!F46))"),"")</f>
        <v/>
      </c>
      <c r="G45" s="42" t="str">
        <f>IFERROR(__xludf.DUMMYFUNCTION("IF('Main Core Flow Mapping'!G46="""","""",IFERROR(GOOGLETRANSLATE('Main Core Flow Mapping'!G46,""en"",""vi""),'Main Core Flow Mapping'!G46))"),"")</f>
        <v/>
      </c>
      <c r="H45" s="42" t="str">
        <f>IF('Main Core Flow Mapping'!H46="","",SWITCH('Main Core Flow Mapping'!H46,"Must-have","Bắt buộc","Should-have","Nên có","Could-have","Có thể có",'Main Core Flow Mapping'!H46))</f>
        <v/>
      </c>
      <c r="I45" s="42" t="str">
        <f>IF('Main Core Flow Mapping'!I46="","",'Main Core Flow Mapping'!I46)</f>
        <v/>
      </c>
      <c r="J45" s="42" t="str">
        <f>IFERROR(__xludf.DUMMYFUNCTION("IF('Main Core Flow Mapping'!J46="""","""",IFERROR(GOOGLETRANSLATE('Main Core Flow Mapping'!J46,""en"",""vi""),'Main Core Flow Mapping'!J46))"),"")</f>
        <v/>
      </c>
    </row>
    <row r="46">
      <c r="A46" s="42" t="str">
        <f>IF('Main Core Flow Mapping'!A47="","",'Main Core Flow Mapping'!A47)</f>
        <v/>
      </c>
      <c r="B46" s="42" t="str">
        <f>IFERROR(__xludf.DUMMYFUNCTION("IF('Main Core Flow Mapping'!B47="""","""",IFERROR(GOOGLETRANSLATE('Main Core Flow Mapping'!B47,""en"",""vi""),'Main Core Flow Mapping'!B47))"),"")</f>
        <v/>
      </c>
      <c r="C46" s="42" t="str">
        <f>IF('Main Core Flow Mapping'!C47="","",SWITCH('Main Core Flow Mapping'!C47,"Core","Luồng chính","Supporting","Luồng hỗ trợ",'Main Core Flow Mapping'!C47))</f>
        <v/>
      </c>
      <c r="D46" s="42" t="str">
        <f>IFERROR(__xludf.DUMMYFUNCTION("IF('Main Core Flow Mapping'!D47="""","""",IFERROR(GOOGLETRANSLATE('Main Core Flow Mapping'!D47,""en"",""vi""),'Main Core Flow Mapping'!D47))"),"")</f>
        <v/>
      </c>
      <c r="E46" s="42" t="str">
        <f>IF('Main Core Flow Mapping'!E47="","",'Main Core Flow Mapping'!E47)</f>
        <v/>
      </c>
      <c r="F46" s="42" t="str">
        <f>IFERROR(__xludf.DUMMYFUNCTION("IF('Main Core Flow Mapping'!F47="""","""",IFERROR(GOOGLETRANSLATE('Main Core Flow Mapping'!F47,""en"",""vi""),'Main Core Flow Mapping'!F47))"),"")</f>
        <v/>
      </c>
      <c r="G46" s="42" t="str">
        <f>IFERROR(__xludf.DUMMYFUNCTION("IF('Main Core Flow Mapping'!G47="""","""",IFERROR(GOOGLETRANSLATE('Main Core Flow Mapping'!G47,""en"",""vi""),'Main Core Flow Mapping'!G47))"),"")</f>
        <v/>
      </c>
      <c r="H46" s="42" t="str">
        <f>IF('Main Core Flow Mapping'!H47="","",SWITCH('Main Core Flow Mapping'!H47,"Must-have","Bắt buộc","Should-have","Nên có","Could-have","Có thể có",'Main Core Flow Mapping'!H47))</f>
        <v/>
      </c>
      <c r="I46" s="42" t="str">
        <f>IF('Main Core Flow Mapping'!I47="","",'Main Core Flow Mapping'!I47)</f>
        <v/>
      </c>
      <c r="J46" s="42" t="str">
        <f>IFERROR(__xludf.DUMMYFUNCTION("IF('Main Core Flow Mapping'!J47="""","""",IFERROR(GOOGLETRANSLATE('Main Core Flow Mapping'!J47,""en"",""vi""),'Main Core Flow Mapping'!J47))"),"")</f>
        <v/>
      </c>
    </row>
    <row r="47">
      <c r="A47" s="42" t="str">
        <f>IF('Main Core Flow Mapping'!A48="","",'Main Core Flow Mapping'!A48)</f>
        <v/>
      </c>
      <c r="B47" s="42" t="str">
        <f>IFERROR(__xludf.DUMMYFUNCTION("IF('Main Core Flow Mapping'!B48="""","""",IFERROR(GOOGLETRANSLATE('Main Core Flow Mapping'!B48,""en"",""vi""),'Main Core Flow Mapping'!B48))"),"")</f>
        <v/>
      </c>
      <c r="C47" s="42" t="str">
        <f>IF('Main Core Flow Mapping'!C48="","",SWITCH('Main Core Flow Mapping'!C48,"Core","Luồng chính","Supporting","Luồng hỗ trợ",'Main Core Flow Mapping'!C48))</f>
        <v/>
      </c>
      <c r="D47" s="42" t="str">
        <f>IFERROR(__xludf.DUMMYFUNCTION("IF('Main Core Flow Mapping'!D48="""","""",IFERROR(GOOGLETRANSLATE('Main Core Flow Mapping'!D48,""en"",""vi""),'Main Core Flow Mapping'!D48))"),"")</f>
        <v/>
      </c>
      <c r="E47" s="42" t="str">
        <f>IF('Main Core Flow Mapping'!E48="","",'Main Core Flow Mapping'!E48)</f>
        <v/>
      </c>
      <c r="F47" s="42" t="str">
        <f>IFERROR(__xludf.DUMMYFUNCTION("IF('Main Core Flow Mapping'!F48="""","""",IFERROR(GOOGLETRANSLATE('Main Core Flow Mapping'!F48,""en"",""vi""),'Main Core Flow Mapping'!F48))"),"")</f>
        <v/>
      </c>
      <c r="G47" s="42" t="str">
        <f>IFERROR(__xludf.DUMMYFUNCTION("IF('Main Core Flow Mapping'!G48="""","""",IFERROR(GOOGLETRANSLATE('Main Core Flow Mapping'!G48,""en"",""vi""),'Main Core Flow Mapping'!G48))"),"")</f>
        <v/>
      </c>
      <c r="H47" s="42" t="str">
        <f>IF('Main Core Flow Mapping'!H48="","",SWITCH('Main Core Flow Mapping'!H48,"Must-have","Bắt buộc","Should-have","Nên có","Could-have","Có thể có",'Main Core Flow Mapping'!H48))</f>
        <v/>
      </c>
      <c r="I47" s="42" t="str">
        <f>IF('Main Core Flow Mapping'!I48="","",'Main Core Flow Mapping'!I48)</f>
        <v/>
      </c>
      <c r="J47" s="42" t="str">
        <f>IFERROR(__xludf.DUMMYFUNCTION("IF('Main Core Flow Mapping'!J48="""","""",IFERROR(GOOGLETRANSLATE('Main Core Flow Mapping'!J48,""en"",""vi""),'Main Core Flow Mapping'!J48))"),"")</f>
        <v/>
      </c>
    </row>
    <row r="48">
      <c r="A48" s="42" t="str">
        <f>IF('Main Core Flow Mapping'!A49="","",'Main Core Flow Mapping'!A49)</f>
        <v/>
      </c>
      <c r="B48" s="42" t="str">
        <f>IFERROR(__xludf.DUMMYFUNCTION("IF('Main Core Flow Mapping'!B49="""","""",IFERROR(GOOGLETRANSLATE('Main Core Flow Mapping'!B49,""en"",""vi""),'Main Core Flow Mapping'!B49))"),"")</f>
        <v/>
      </c>
      <c r="C48" s="42" t="str">
        <f>IF('Main Core Flow Mapping'!C49="","",SWITCH('Main Core Flow Mapping'!C49,"Core","Luồng chính","Supporting","Luồng hỗ trợ",'Main Core Flow Mapping'!C49))</f>
        <v/>
      </c>
      <c r="D48" s="42" t="str">
        <f>IFERROR(__xludf.DUMMYFUNCTION("IF('Main Core Flow Mapping'!D49="""","""",IFERROR(GOOGLETRANSLATE('Main Core Flow Mapping'!D49,""en"",""vi""),'Main Core Flow Mapping'!D49))"),"")</f>
        <v/>
      </c>
      <c r="E48" s="42" t="str">
        <f>IF('Main Core Flow Mapping'!E49="","",'Main Core Flow Mapping'!E49)</f>
        <v/>
      </c>
      <c r="F48" s="42" t="str">
        <f>IFERROR(__xludf.DUMMYFUNCTION("IF('Main Core Flow Mapping'!F49="""","""",IFERROR(GOOGLETRANSLATE('Main Core Flow Mapping'!F49,""en"",""vi""),'Main Core Flow Mapping'!F49))"),"")</f>
        <v/>
      </c>
      <c r="G48" s="42" t="str">
        <f>IFERROR(__xludf.DUMMYFUNCTION("IF('Main Core Flow Mapping'!G49="""","""",IFERROR(GOOGLETRANSLATE('Main Core Flow Mapping'!G49,""en"",""vi""),'Main Core Flow Mapping'!G49))"),"")</f>
        <v/>
      </c>
      <c r="H48" s="42" t="str">
        <f>IF('Main Core Flow Mapping'!H49="","",SWITCH('Main Core Flow Mapping'!H49,"Must-have","Bắt buộc","Should-have","Nên có","Could-have","Có thể có",'Main Core Flow Mapping'!H49))</f>
        <v/>
      </c>
      <c r="I48" s="42" t="str">
        <f>IF('Main Core Flow Mapping'!I49="","",'Main Core Flow Mapping'!I49)</f>
        <v/>
      </c>
      <c r="J48" s="42" t="str">
        <f>IFERROR(__xludf.DUMMYFUNCTION("IF('Main Core Flow Mapping'!J49="""","""",IFERROR(GOOGLETRANSLATE('Main Core Flow Mapping'!J49,""en"",""vi""),'Main Core Flow Mapping'!J49))"),"")</f>
        <v/>
      </c>
    </row>
    <row r="49">
      <c r="A49" s="42" t="str">
        <f>IF('Main Core Flow Mapping'!A50="","",'Main Core Flow Mapping'!A50)</f>
        <v/>
      </c>
      <c r="B49" s="42" t="str">
        <f>IFERROR(__xludf.DUMMYFUNCTION("IF('Main Core Flow Mapping'!B50="""","""",IFERROR(GOOGLETRANSLATE('Main Core Flow Mapping'!B50,""en"",""vi""),'Main Core Flow Mapping'!B50))"),"")</f>
        <v/>
      </c>
      <c r="C49" s="42" t="str">
        <f>IF('Main Core Flow Mapping'!C50="","",SWITCH('Main Core Flow Mapping'!C50,"Core","Luồng chính","Supporting","Luồng hỗ trợ",'Main Core Flow Mapping'!C50))</f>
        <v/>
      </c>
      <c r="D49" s="42" t="str">
        <f>IFERROR(__xludf.DUMMYFUNCTION("IF('Main Core Flow Mapping'!D50="""","""",IFERROR(GOOGLETRANSLATE('Main Core Flow Mapping'!D50,""en"",""vi""),'Main Core Flow Mapping'!D50))"),"")</f>
        <v/>
      </c>
      <c r="E49" s="42" t="str">
        <f>IF('Main Core Flow Mapping'!E50="","",'Main Core Flow Mapping'!E50)</f>
        <v/>
      </c>
      <c r="F49" s="42" t="str">
        <f>IFERROR(__xludf.DUMMYFUNCTION("IF('Main Core Flow Mapping'!F50="""","""",IFERROR(GOOGLETRANSLATE('Main Core Flow Mapping'!F50,""en"",""vi""),'Main Core Flow Mapping'!F50))"),"")</f>
        <v/>
      </c>
      <c r="G49" s="42" t="str">
        <f>IFERROR(__xludf.DUMMYFUNCTION("IF('Main Core Flow Mapping'!G50="""","""",IFERROR(GOOGLETRANSLATE('Main Core Flow Mapping'!G50,""en"",""vi""),'Main Core Flow Mapping'!G50))"),"")</f>
        <v/>
      </c>
      <c r="H49" s="42" t="str">
        <f>IF('Main Core Flow Mapping'!H50="","",SWITCH('Main Core Flow Mapping'!H50,"Must-have","Bắt buộc","Should-have","Nên có","Could-have","Có thể có",'Main Core Flow Mapping'!H50))</f>
        <v/>
      </c>
      <c r="I49" s="42" t="str">
        <f>IF('Main Core Flow Mapping'!I50="","",'Main Core Flow Mapping'!I50)</f>
        <v/>
      </c>
      <c r="J49" s="42" t="str">
        <f>IFERROR(__xludf.DUMMYFUNCTION("IF('Main Core Flow Mapping'!J50="""","""",IFERROR(GOOGLETRANSLATE('Main Core Flow Mapping'!J50,""en"",""vi""),'Main Core Flow Mapping'!J50))"),"")</f>
        <v/>
      </c>
    </row>
    <row r="50">
      <c r="A50" s="42" t="str">
        <f>IF('Main Core Flow Mapping'!A51="","",'Main Core Flow Mapping'!A51)</f>
        <v/>
      </c>
      <c r="B50" s="42" t="str">
        <f>IFERROR(__xludf.DUMMYFUNCTION("IF('Main Core Flow Mapping'!B51="""","""",IFERROR(GOOGLETRANSLATE('Main Core Flow Mapping'!B51,""en"",""vi""),'Main Core Flow Mapping'!B51))"),"")</f>
        <v/>
      </c>
      <c r="C50" s="42" t="str">
        <f>IF('Main Core Flow Mapping'!C51="","",SWITCH('Main Core Flow Mapping'!C51,"Core","Luồng chính","Supporting","Luồng hỗ trợ",'Main Core Flow Mapping'!C51))</f>
        <v/>
      </c>
      <c r="D50" s="42" t="str">
        <f>IFERROR(__xludf.DUMMYFUNCTION("IF('Main Core Flow Mapping'!D51="""","""",IFERROR(GOOGLETRANSLATE('Main Core Flow Mapping'!D51,""en"",""vi""),'Main Core Flow Mapping'!D51))"),"")</f>
        <v/>
      </c>
      <c r="E50" s="42" t="str">
        <f>IF('Main Core Flow Mapping'!E51="","",'Main Core Flow Mapping'!E51)</f>
        <v/>
      </c>
      <c r="F50" s="42" t="str">
        <f>IFERROR(__xludf.DUMMYFUNCTION("IF('Main Core Flow Mapping'!F51="""","""",IFERROR(GOOGLETRANSLATE('Main Core Flow Mapping'!F51,""en"",""vi""),'Main Core Flow Mapping'!F51))"),"")</f>
        <v/>
      </c>
      <c r="G50" s="42" t="str">
        <f>IFERROR(__xludf.DUMMYFUNCTION("IF('Main Core Flow Mapping'!G51="""","""",IFERROR(GOOGLETRANSLATE('Main Core Flow Mapping'!G51,""en"",""vi""),'Main Core Flow Mapping'!G51))"),"")</f>
        <v/>
      </c>
      <c r="H50" s="42" t="str">
        <f>IF('Main Core Flow Mapping'!H51="","",SWITCH('Main Core Flow Mapping'!H51,"Must-have","Bắt buộc","Should-have","Nên có","Could-have","Có thể có",'Main Core Flow Mapping'!H51))</f>
        <v/>
      </c>
      <c r="I50" s="42" t="str">
        <f>IF('Main Core Flow Mapping'!I51="","",'Main Core Flow Mapping'!I51)</f>
        <v/>
      </c>
      <c r="J50" s="42" t="str">
        <f>IFERROR(__xludf.DUMMYFUNCTION("IF('Main Core Flow Mapping'!J51="""","""",IFERROR(GOOGLETRANSLATE('Main Core Flow Mapping'!J51,""en"",""vi""),'Main Core Flow Mapping'!J51))"),"")</f>
        <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8C3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7.63"/>
    <col customWidth="1" min="4" max="4" width="36.88"/>
    <col customWidth="1" min="5" max="5" width="37.63"/>
    <col customWidth="1" min="6" max="6" width="30.13"/>
    <col customWidth="1" min="10" max="10" width="37.63"/>
  </cols>
  <sheetData>
    <row r="1" ht="22.5" customHeight="1">
      <c r="A1" s="39" t="s">
        <v>1789</v>
      </c>
      <c r="B1" s="39" t="s">
        <v>1790</v>
      </c>
      <c r="C1" s="39" t="s">
        <v>1791</v>
      </c>
      <c r="D1" s="39" t="s">
        <v>1792</v>
      </c>
      <c r="E1" s="39" t="s">
        <v>1793</v>
      </c>
      <c r="F1" s="39" t="s">
        <v>1781</v>
      </c>
      <c r="G1" s="39" t="s">
        <v>3</v>
      </c>
      <c r="H1" s="39" t="s">
        <v>1770</v>
      </c>
      <c r="I1" s="39" t="s">
        <v>1771</v>
      </c>
      <c r="J1" s="39" t="s">
        <v>1774</v>
      </c>
    </row>
    <row r="2" ht="22.5" customHeight="1">
      <c r="A2" s="40" t="str">
        <f>IF('Business Rule &amp; Permission'!A2="","",'Business Rule &amp; Permission'!A2)</f>
        <v>BR-ROLE-01</v>
      </c>
      <c r="B2" s="40" t="str">
        <f>IFERROR(__xludf.DUMMYFUNCTION("IF('Business Rule &amp; Permission'!B2="""","""",IFERROR(GOOGLETRANSLATE('Business Rule &amp; Permission'!B2,""en"",""vi""),'Business Rule &amp; Permission'!B2))"),"Vai trò")</f>
        <v>Vai trò</v>
      </c>
      <c r="C2" s="40" t="str">
        <f>IFERROR(__xludf.DUMMYFUNCTION("IF('Business Rule &amp; Permission'!C2="""","""",IFERROR(GOOGLETRANSLATE('Business Rule &amp; Permission'!C2,""en"",""vi""),'Business Rule &amp; Permission'!C2))"),"Mỗi không gian làm việc gia đình chỉ có một người quản lý gia đình chính.")</f>
        <v>Mỗi không gian làm việc gia đình chỉ có một người quản lý gia đình chính.</v>
      </c>
      <c r="D2" s="40" t="str">
        <f>IFERROR(__xludf.DUMMYFUNCTION("IF('Business Rule &amp; Permission'!D2="""","""",IFERROR(GOOGLETRANSLATE('Business Rule &amp; Permission'!D2,""en"",""vi""),'Business Rule &amp; Permission'!D2))"),"Không gian làm việc gia đình")</f>
        <v>Không gian làm việc gia đình</v>
      </c>
      <c r="E2" s="40" t="str">
        <f>IF('Business Rule &amp; Permission'!E2="","",SWITCH('Business Rule &amp; Permission'!E2,"Yes","Có","No","Không","N/A","Không áp dụng","Can view/manage shared part if delegated","Có thể xem/quản lý phần dùng chung nếu được ủy quyền",'Business Rule &amp; Permission'!E2))</f>
        <v>Không</v>
      </c>
      <c r="H2" s="40" t="str">
        <f>IF('Business Rule &amp; Permission'!H2="","",SWITCH('Business Rule &amp; Permission'!H2,"Must-have","Bắt buộc","Should-have","Nên có","Could-have","Có thể có",'Business Rule &amp; Permission'!H2))</f>
        <v>Bắt buộc</v>
      </c>
      <c r="I2" s="40" t="str">
        <f>IF('Business Rule &amp; Permission'!I2="","",SWITCH('Business Rule &amp; Permission'!I2,"Not Started","Chưa bắt đầu","In Progress","Đang làm","Done","Hoàn thành",'Business Rule &amp; Permission'!I2))</f>
        <v>Chưa bắt đầu</v>
      </c>
    </row>
    <row r="3" ht="22.5" customHeight="1">
      <c r="A3" s="40" t="str">
        <f>IF('Business Rule &amp; Permission'!A3="","",'Business Rule &amp; Permission'!A3)</f>
        <v>BR-ROLE-02</v>
      </c>
      <c r="B3" s="40" t="str">
        <f>IFERROR(__xludf.DUMMYFUNCTION("IF('Business Rule &amp; Permission'!B3="""","""",IFERROR(GOOGLETRANSLATE('Business Rule &amp; Permission'!B3,""en"",""vi""),'Business Rule &amp; Permission'!B3))"),"Vai trò")</f>
        <v>Vai trò</v>
      </c>
      <c r="C3" s="40" t="str">
        <f>IFERROR(__xludf.DUMMYFUNCTION("IF('Business Rule &amp; Permission'!C3="""","""",IFERROR(GOOGLETRANSLATE('Business Rule &amp; Permission'!C3,""en"",""vi""),'Business Rule &amp; Permission'!C3))"),"Người được ủy quyền không phải là một cá nhân độc lập; đó là sự cho phép được ủy quyền thay mặt cho một thành viên trong gia đình.")</f>
        <v>Người được ủy quyền không phải là một cá nhân độc lập; đó là sự cho phép được ủy quyền thay mặt cho một thành viên trong gia đình.</v>
      </c>
      <c r="D3" s="40" t="str">
        <f>IFERROR(__xludf.DUMMYFUNCTION("IF('Business Rule &amp; Permission'!D3="""","""",IFERROR(GOOGLETRANSLATE('Business Rule &amp; Permission'!D3,""en"",""vi""),'Business Rule &amp; Permission'!D3))"),"Quản gia đình, Thành viên gia đình")</f>
        <v>Quản gia đình, Thành viên gia đình</v>
      </c>
      <c r="E3" s="40" t="str">
        <f>IF('Business Rule &amp; Permission'!E3="","",SWITCH('Business Rule &amp; Permission'!E3,"Yes","Có","No","Không","N/A","Không áp dụng","Can view/manage shared part if delegated","Có thể xem/quản lý phần dùng chung nếu được ủy quyền",'Business Rule &amp; Permission'!E3))</f>
        <v>Không áp dụng</v>
      </c>
      <c r="F3" s="40" t="str">
        <f>IF('Business Rule &amp; Permission'!F3="","",'Business Rule &amp; Permission'!F3)</f>
        <v>UC18</v>
      </c>
      <c r="G3" s="40" t="str">
        <f>IFERROR(__xludf.DUMMYFUNCTION("IF('Business Rule &amp; Permission'!G3="""","""",IFERROR(GOOGLETRANSLATE('Business Rule &amp; Permission'!G3,""en"",""vi""),'Business Rule &amp; Permission'!G3))"),"Sự cho phép")</f>
        <v>Sự cho phép</v>
      </c>
      <c r="H3" s="40" t="str">
        <f>IF('Business Rule &amp; Permission'!H3="","",SWITCH('Business Rule &amp; Permission'!H3,"Must-have","Bắt buộc","Should-have","Nên có","Could-have","Có thể có",'Business Rule &amp; Permission'!H3))</f>
        <v>Bắt buộc</v>
      </c>
      <c r="I3" s="40" t="str">
        <f>IF('Business Rule &amp; Permission'!I3="","",SWITCH('Business Rule &amp; Permission'!I3,"Not Started","Chưa bắt đầu","In Progress","Đang làm","Done","Hoàn thành",'Business Rule &amp; Permission'!I3))</f>
        <v>Chưa bắt đầu</v>
      </c>
      <c r="J3" s="40" t="str">
        <f>IFERROR(__xludf.DUMMYFUNCTION("IF('Business Rule &amp; Permission'!J3="""","""",IFERROR(GOOGLETRANSLATE('Business Rule &amp; Permission'!J3,""en"",""vi""),'Business Rule &amp; Permission'!J3))"),"Sử dụng cách diễn đạt: Thành viên gia đình được ủy quyền thay mặt người đại diện.")</f>
        <v>Sử dụng cách diễn đạt: Thành viên gia đình được ủy quyền thay mặt người đại diện.</v>
      </c>
    </row>
    <row r="4" ht="22.5" customHeight="1">
      <c r="A4" s="40" t="str">
        <f>IF('Business Rule &amp; Permission'!A4="","",'Business Rule &amp; Permission'!A4)</f>
        <v>BR-ROLE-03</v>
      </c>
      <c r="B4" s="40" t="str">
        <f>IFERROR(__xludf.DUMMYFUNCTION("IF('Business Rule &amp; Permission'!B4="""","""",IFERROR(GOOGLETRANSLATE('Business Rule &amp; Permission'!B4,""en"",""vi""),'Business Rule &amp; Permission'!B4))"),"Mối quan hệ")</f>
        <v>Mối quan hệ</v>
      </c>
      <c r="C4" s="40" t="str">
        <f>IFERROR(__xludf.DUMMYFUNCTION("IF('Business Rule &amp; Permission'!C4="""","""",IFERROR(GOOGLETRANSLATE('Business Rule &amp; Permission'!C4,""en"",""vi""),'Business Rule &amp; Permission'!C4))"),"Mối quan hệ chỉ mô tả quan hệ gia đình và không cấp quyền truy cập vào hệ thống.")</f>
        <v>Mối quan hệ chỉ mô tả quan hệ gia đình và không cấp quyền truy cập vào hệ thống.</v>
      </c>
      <c r="D4" s="40" t="str">
        <f>IFERROR(__xludf.DUMMYFUNCTION("IF('Business Rule &amp; Permission'!D4="""","""",IFERROR(GOOGLETRANSLATE('Business Rule &amp; Permission'!D4,""en"",""vi""),'Business Rule &amp; Permission'!D4))"),"Thành viên gia đình")</f>
        <v>Thành viên gia đình</v>
      </c>
      <c r="E4" s="40" t="str">
        <f>IF('Business Rule &amp; Permission'!E4="","",SWITCH('Business Rule &amp; Permission'!E4,"Yes","Có","No","Không","N/A","Không áp dụng","Can view/manage shared part if delegated","Có thể xem/quản lý phần dùng chung nếu được ủy quyền",'Business Rule &amp; Permission'!E4))</f>
        <v>Không</v>
      </c>
      <c r="F4" s="40" t="str">
        <f>IF('Business Rule &amp; Permission'!F4="","",'Business Rule &amp; Permission'!F4)</f>
        <v>UC17, UC20</v>
      </c>
      <c r="G4" s="40" t="str">
        <f>IFERROR(__xludf.DUMMYFUNCTION("IF('Business Rule &amp; Permission'!G4="""","""",IFERROR(GOOGLETRANSLATE('Business Rule &amp; Permission'!G4,""en"",""vi""),'Business Rule &amp; Permission'!G4))"),"Gia đình")</f>
        <v>Gia đình</v>
      </c>
      <c r="H4" s="40" t="str">
        <f>IF('Business Rule &amp; Permission'!H4="","",SWITCH('Business Rule &amp; Permission'!H4,"Must-have","Bắt buộc","Should-have","Nên có","Could-have","Có thể có",'Business Rule &amp; Permission'!H4))</f>
        <v>Bắt buộc</v>
      </c>
      <c r="I4" s="40" t="str">
        <f>IF('Business Rule &amp; Permission'!I4="","",SWITCH('Business Rule &amp; Permission'!I4,"Not Started","Chưa bắt đầu","In Progress","Đang làm","Done","Hoàn thành",'Business Rule &amp; Permission'!I4))</f>
        <v>Chưa bắt đầu</v>
      </c>
      <c r="J4" s="40" t="str">
        <f>IFERROR(__xludf.DUMMYFUNCTION("IF('Business Rule &amp; Permission'!J4="""","""",IFERROR(GOOGLETRANSLATE('Business Rule &amp; Permission'!J4,""en"",""vi""),'Business Rule &amp; Permission'!J4))"),"Ví dụ: cha, mẹ, con, vợ/chồng, ông bà.")</f>
        <v>Ví dụ: cha, mẹ, con, vợ/chồng, ông bà.</v>
      </c>
    </row>
    <row r="5" ht="22.5" customHeight="1">
      <c r="A5" s="40" t="str">
        <f>IF('Business Rule &amp; Permission'!A5="","",'Business Rule &amp; Permission'!A5)</f>
        <v>BR-ROLE-04</v>
      </c>
      <c r="B5" s="40" t="str">
        <f>IFERROR(__xludf.DUMMYFUNCTION("IF('Business Rule &amp; Permission'!B5="""","""",IFERROR(GOOGLETRANSLATE('Business Rule &amp; Permission'!B5,""en"",""vi""),'Business Rule &amp; Permission'!B5))"),"Mối quan hệ")</f>
        <v>Mối quan hệ</v>
      </c>
      <c r="C5" s="40" t="str">
        <f>IFERROR(__xludf.DUMMYFUNCTION("IF('Business Rule &amp; Permission'!C5="""","""",IFERROR(GOOGLETRANSLATE('Business Rule &amp; Permission'!C5,""en"",""vi""),'Business Rule &amp; Permission'!C5))"),"Mỗi thành viên nên có cả vai trò và mối quan hệ.")</f>
        <v>Mỗi thành viên nên có cả vai trò và mối quan hệ.</v>
      </c>
      <c r="D5" s="40" t="str">
        <f>IFERROR(__xludf.DUMMYFUNCTION("IF('Business Rule &amp; Permission'!D5="""","""",IFERROR(GOOGLETRANSLATE('Business Rule &amp; Permission'!D5,""en"",""vi""),'Business Rule &amp; Permission'!D5))"),"Thành viên gia đình")</f>
        <v>Thành viên gia đình</v>
      </c>
      <c r="E5" s="40" t="str">
        <f>IF('Business Rule &amp; Permission'!E5="","",SWITCH('Business Rule &amp; Permission'!E5,"Yes","Có","No","Không","N/A","Không áp dụng","Can view/manage shared part if delegated","Có thể xem/quản lý phần dùng chung nếu được ủy quyền",'Business Rule &amp; Permission'!E5))</f>
        <v>Không</v>
      </c>
      <c r="F5" s="40" t="str">
        <f>IF('Business Rule &amp; Permission'!F5="","",'Business Rule &amp; Permission'!F5)</f>
        <v>UC17, UC20</v>
      </c>
      <c r="G5" s="40" t="str">
        <f>IFERROR(__xludf.DUMMYFUNCTION("IF('Business Rule &amp; Permission'!G5="""","""",IFERROR(GOOGLETRANSLATE('Business Rule &amp; Permission'!G5,""en"",""vi""),'Business Rule &amp; Permission'!G5))"),"Gia đình")</f>
        <v>Gia đình</v>
      </c>
      <c r="H5" s="40" t="str">
        <f>IF('Business Rule &amp; Permission'!H5="","",SWITCH('Business Rule &amp; Permission'!H5,"Must-have","Bắt buộc","Should-have","Nên có","Could-have","Có thể có",'Business Rule &amp; Permission'!H5))</f>
        <v>Bắt buộc</v>
      </c>
      <c r="I5" s="40" t="str">
        <f>IF('Business Rule &amp; Permission'!I5="","",SWITCH('Business Rule &amp; Permission'!I5,"Not Started","Chưa bắt đầu","In Progress","Đang làm","Done","Hoàn thành",'Business Rule &amp; Permission'!I5))</f>
        <v>Chưa bắt đầu</v>
      </c>
      <c r="J5" s="40" t="str">
        <f>IFERROR(__xludf.DUMMYFUNCTION("IF('Business Rule &amp; Permission'!J5="""","""",IFERROR(GOOGLETRANSLATE('Business Rule &amp; Permission'!J5,""en"",""vi""),'Business Rule &amp; Permission'!J5))"),"Hữu ích cho việc lập sơ đồ ERD và kiểm định.")</f>
        <v>Hữu ích cho việc lập sơ đồ ERD và kiểm định.</v>
      </c>
    </row>
    <row r="6" ht="22.5" customHeight="1">
      <c r="A6" s="40" t="str">
        <f>IF('Business Rule &amp; Permission'!A6="","",'Business Rule &amp; Permission'!A6)</f>
        <v>BR-INV-01</v>
      </c>
      <c r="B6" s="40" t="str">
        <f>IFERROR(__xludf.DUMMYFUNCTION("IF('Business Rule &amp; Permission'!B6="""","""",IFERROR(GOOGLETRANSLATE('Business Rule &amp; Permission'!B6,""en"",""vi""),'Business Rule &amp; Permission'!B6))"),"Lời mời")</f>
        <v>Lời mời</v>
      </c>
      <c r="C6" s="40" t="str">
        <f>IFERROR(__xludf.DUMMYFUNCTION("IF('Business Rule &amp; Permission'!C6="""","""",IFERROR(GOOGLETRANSLATE('Business Rule &amp; Permission'!C6,""en"",""vi""),'Business Rule &amp; Permission'!C6))"),"Người dùng được mời chỉ có thể tham gia vào một nhóm hiện có thông qua liên kết mời hợp lệ.")</f>
        <v>Người dùng được mời chỉ có thể tham gia vào một nhóm hiện có thông qua liên kết mời hợp lệ.</v>
      </c>
      <c r="D6" s="40" t="str">
        <f>IFERROR(__xludf.DUMMYFUNCTION("IF('Business Rule &amp; Permission'!D6="""","""",IFERROR(GOOGLETRANSLATE('Business Rule &amp; Permission'!D6,""en"",""vi""),'Business Rule &amp; Permission'!D6))"),"Người dùng được mời")</f>
        <v>Người dùng được mời</v>
      </c>
      <c r="E6" s="40" t="str">
        <f>IF('Business Rule &amp; Permission'!E6="","",SWITCH('Business Rule &amp; Permission'!E6,"Yes","Có","No","Không","N/A","Không áp dụng","Can view/manage shared part if delegated","Có thể xem/quản lý phần dùng chung nếu được ủy quyền",'Business Rule &amp; Permission'!E6))</f>
        <v>Không</v>
      </c>
      <c r="F6" s="40" t="str">
        <f>IF('Business Rule &amp; Permission'!F6="","",'Business Rule &amp; Permission'!F6)</f>
        <v>UC13, UC15, UC16</v>
      </c>
      <c r="G6" s="40" t="str">
        <f>IFERROR(__xludf.DUMMYFUNCTION("IF('Business Rule &amp; Permission'!G6="""","""",IFERROR(GOOGLETRANSLATE('Business Rule &amp; Permission'!G6,""en"",""vi""),'Business Rule &amp; Permission'!G6))"),"Gia đình")</f>
        <v>Gia đình</v>
      </c>
      <c r="H6" s="40" t="str">
        <f>IF('Business Rule &amp; Permission'!H6="","",SWITCH('Business Rule &amp; Permission'!H6,"Must-have","Bắt buộc","Should-have","Nên có","Could-have","Có thể có",'Business Rule &amp; Permission'!H6))</f>
        <v>Bắt buộc</v>
      </c>
      <c r="I6" s="40" t="str">
        <f>IF('Business Rule &amp; Permission'!I6="","",SWITCH('Business Rule &amp; Permission'!I6,"Not Started","Chưa bắt đầu","In Progress","Đang làm","Done","Hoàn thành",'Business Rule &amp; Permission'!I6))</f>
        <v>Chưa bắt đầu</v>
      </c>
      <c r="J6" s="40" t="str">
        <f>IFERROR(__xludf.DUMMYFUNCTION("IF('Business Rule &amp; Permission'!J6="""","""",IFERROR(GOOGLETRANSLATE('Business Rule &amp; Permission'!J6,""en"",""vi""),'Business Rule &amp; Permission'!J6))"),"Mã token phải còn hiệu lực và chưa hết hạn/bị hủy.")</f>
        <v>Mã token phải còn hiệu lực và chưa hết hạn/bị hủy.</v>
      </c>
    </row>
    <row r="7" ht="22.5" customHeight="1">
      <c r="A7" s="40" t="str">
        <f>IF('Business Rule &amp; Permission'!A7="","",'Business Rule &amp; Permission'!A7)</f>
        <v>BR-AUTH-01</v>
      </c>
      <c r="B7" s="40" t="str">
        <f>IFERROR(__xludf.DUMMYFUNCTION("IF('Business Rule &amp; Permission'!B7="""","""",IFERROR(GOOGLETRANSLATE('Business Rule &amp; Permission'!B7,""en"",""vi""),'Business Rule &amp; Permission'!B7))"),"Xác thực")</f>
        <v>Xác thực</v>
      </c>
      <c r="C7" s="40" t="str">
        <f>IFERROR(__xludf.DUMMYFUNCTION("IF('Business Rule &amp; Permission'!C7="""","""",IFERROR(GOOGLETRANSLATE('Business Rule &amp; Permission'!C7,""en"",""vi""),'Business Rule &amp; Permission'!C7))"),"Người dùng phải đăng ký và xác minh tài khoản trước khi sử dụng các chức năng bảo vệ gia đình.")</f>
        <v>Người dùng phải đăng ký và xác minh tài khoản trước khi sử dụng các chức năng bảo vệ gia đình.</v>
      </c>
      <c r="D7" s="40" t="str">
        <f>IFERROR(__xludf.DUMMYFUNCTION("IF('Business Rule &amp; Permission'!D7="""","""",IFERROR(GOOGLETRANSLATE('Business Rule &amp; Permission'!D7,""en"",""vi""),'Business Rule &amp; Permission'!D7))"),"Người đại diện gia đình/Người dùng mới")</f>
        <v>Người đại diện gia đình/Người dùng mới</v>
      </c>
      <c r="E7" s="40" t="str">
        <f>IF('Business Rule &amp; Permission'!E7="","",SWITCH('Business Rule &amp; Permission'!E7,"Yes","Có","No","Không","N/A","Không áp dụng","Can view/manage shared part if delegated","Có thể xem/quản lý phần dùng chung nếu được ủy quyền",'Business Rule &amp; Permission'!E7))</f>
        <v>Không</v>
      </c>
      <c r="F7" s="40" t="str">
        <f>IF('Business Rule &amp; Permission'!F7="","",'Business Rule &amp; Permission'!F7)</f>
        <v>UC09, UC10</v>
      </c>
      <c r="G7" s="40" t="str">
        <f>IFERROR(__xludf.DUMMYFUNCTION("IF('Business Rule &amp; Permission'!G7="""","""",IFERROR(GOOGLETRANSLATE('Business Rule &amp; Permission'!G7,""en"",""vi""),'Business Rule &amp; Permission'!G7))"),"Xác thực")</f>
        <v>Xác thực</v>
      </c>
      <c r="H7" s="40" t="str">
        <f>IF('Business Rule &amp; Permission'!H7="","",SWITCH('Business Rule &amp; Permission'!H7,"Must-have","Bắt buộc","Should-have","Nên có","Could-have","Có thể có",'Business Rule &amp; Permission'!H7))</f>
        <v>Bắt buộc</v>
      </c>
      <c r="I7" s="40" t="str">
        <f>IF('Business Rule &amp; Permission'!I7="","",SWITCH('Business Rule &amp; Permission'!I7,"Not Started","Chưa bắt đầu","In Progress","Đang làm","Done","Hoàn thành",'Business Rule &amp; Permission'!I7))</f>
        <v>Chưa bắt đầu</v>
      </c>
      <c r="J7" s="40" t="str">
        <f>IFERROR(__xludf.DUMMYFUNCTION("IF('Business Rule &amp; Permission'!J7="""","""",IFERROR(GOOGLETRANSLATE('Business Rule &amp; Permission'!J7,""en"",""vi""),'Business Rule &amp; Permission'!J7))"),"Quy tắc cơ bản khi gia nhập công ty.")</f>
        <v>Quy tắc cơ bản khi gia nhập công ty.</v>
      </c>
    </row>
    <row r="8" ht="22.5" customHeight="1">
      <c r="A8" s="40" t="str">
        <f>IF('Business Rule &amp; Permission'!A8="","",'Business Rule &amp; Permission'!A8)</f>
        <v>BR-AUTH-02</v>
      </c>
      <c r="B8" s="40" t="str">
        <f>IFERROR(__xludf.DUMMYFUNCTION("IF('Business Rule &amp; Permission'!B8="""","""",IFERROR(GOOGLETRANSLATE('Business Rule &amp; Permission'!B8,""en"",""vi""),'Business Rule &amp; Permission'!B8))"),"Ủy quyền")</f>
        <v>Ủy quyền</v>
      </c>
      <c r="C8" s="40" t="str">
        <f>IFERROR(__xludf.DUMMYFUNCTION("IF('Business Rule &amp; Permission'!C8="""","""",IFERROR(GOOGLETRANSLATE('Business Rule &amp; Permission'!C8,""en"",""vi""),'Business Rule &amp; Permission'!C8))"),"Người dùng chỉ có thể truy cập tài nguyên theo vai trò, quyền được ủy quyền và ngữ cảnh của Family Workspace.")</f>
        <v>Người dùng chỉ có thể truy cập tài nguyên theo vai trò, quyền được ủy quyền và ngữ cảnh của Family Workspace.</v>
      </c>
      <c r="D8" s="40" t="str">
        <f>IFERROR(__xludf.DUMMYFUNCTION("IF('Business Rule &amp; Permission'!D8="""","""",IFERROR(GOOGLETRANSLATE('Business Rule &amp; Permission'!D8,""en"",""vi""),'Business Rule &amp; Permission'!D8))"),"Tất cả người dùng")</f>
        <v>Tất cả người dùng</v>
      </c>
      <c r="E8" s="40" t="str">
        <f>IF('Business Rule &amp; Permission'!E8="","",SWITCH('Business Rule &amp; Permission'!E8,"Yes","Có","No","Không","N/A","Không áp dụng","Can view/manage shared part if delegated","Có thể xem/quản lý phần dùng chung nếu được ủy quyền",'Business Rule &amp; Permission'!E8))</f>
        <v>Không</v>
      </c>
      <c r="F8" s="40" t="str">
        <f>IF('Business Rule &amp; Permission'!F8="","",'Business Rule &amp; Permission'!F8)</f>
        <v>UC11 and protected UCs</v>
      </c>
      <c r="G8" s="40" t="str">
        <f>IFERROR(__xludf.DUMMYFUNCTION("IF('Business Rule &amp; Permission'!G8="""","""",IFERROR(GOOGLETRANSLATE('Business Rule &amp; Permission'!G8,""en"",""vi""),'Business Rule &amp; Permission'!G8))"),"Xác thực / Quyền hạn")</f>
        <v>Xác thực / Quyền hạn</v>
      </c>
      <c r="H8" s="40" t="str">
        <f>IF('Business Rule &amp; Permission'!H8="","",SWITCH('Business Rule &amp; Permission'!H8,"Must-have","Bắt buộc","Should-have","Nên có","Could-have","Có thể có",'Business Rule &amp; Permission'!H8))</f>
        <v>Bắt buộc</v>
      </c>
      <c r="I8" s="40" t="str">
        <f>IF('Business Rule &amp; Permission'!I8="","",SWITCH('Business Rule &amp; Permission'!I8,"Not Started","Chưa bắt đầu","In Progress","Đang làm","Done","Hoàn thành",'Business Rule &amp; Permission'!I8))</f>
        <v>Chưa bắt đầu</v>
      </c>
      <c r="J8" s="40" t="str">
        <f>IFERROR(__xludf.DUMMYFUNCTION("IF('Business Rule &amp; Permission'!J8="""","""",IFERROR(GOOGLETRANSLATE('Business Rule &amp; Permission'!J8,""en"",""vi""),'Business Rule &amp; Permission'!J8))"),"Quy tắc bảo vệ phía máy chủ cho tất cả các API được bảo vệ.")</f>
        <v>Quy tắc bảo vệ phía máy chủ cho tất cả các API được bảo vệ.</v>
      </c>
    </row>
    <row r="9" ht="22.5" customHeight="1">
      <c r="A9" s="40" t="str">
        <f>IF('Business Rule &amp; Permission'!A9="","",'Business Rule &amp; Permission'!A9)</f>
        <v>BR-AUTH-03</v>
      </c>
      <c r="B9" s="40" t="str">
        <f>IFERROR(__xludf.DUMMYFUNCTION("IF('Business Rule &amp; Permission'!B9="""","""",IFERROR(GOOGLETRANSLATE('Business Rule &amp; Permission'!B9,""en"",""vi""),'Business Rule &amp; Permission'!B9))"),"Xác thực")</f>
        <v>Xác thực</v>
      </c>
      <c r="C9" s="40" t="str">
        <f>IFERROR(__xludf.DUMMYFUNCTION("IF('Business Rule &amp; Permission'!C9="""","""",IFERROR(GOOGLETRANSLATE('Business Rule &amp; Permission'!C9,""en"",""vi""),'Business Rule &amp; Permission'!C9))"),"Địa chỉ email/số điện thoại phải là duy nhất trong hệ thống. Nếu tài khoản đã tồn tại, hệ thống không được tạo tài khoản trùng lặp.")</f>
        <v>Địa chỉ email/số điện thoại phải là duy nhất trong hệ thống. Nếu tài khoản đã tồn tại, hệ thống không được tạo tài khoản trùng lặp.</v>
      </c>
      <c r="D9" s="40" t="str">
        <f>IFERROR(__xludf.DUMMYFUNCTION("IF('Business Rule &amp; Permission'!D9="""","""",IFERROR(GOOGLETRANSLATE('Business Rule &amp; Permission'!D9,""en"",""vi""),'Business Rule &amp; Permission'!D9))"),"Khách/Người dùng")</f>
        <v>Khách/Người dùng</v>
      </c>
      <c r="E9" s="40" t="str">
        <f>IF('Business Rule &amp; Permission'!E9="","",SWITCH('Business Rule &amp; Permission'!E9,"Yes","Có","No","Không","N/A","Không áp dụng","Can view/manage shared part if delegated","Có thể xem/quản lý phần dùng chung nếu được ủy quyền",'Business Rule &amp; Permission'!E9))</f>
        <v>Không</v>
      </c>
      <c r="F9" s="40" t="str">
        <f>IF('Business Rule &amp; Permission'!F9="","",'Business Rule &amp; Permission'!F9)</f>
        <v>UC09</v>
      </c>
      <c r="G9" s="40" t="str">
        <f>IFERROR(__xludf.DUMMYFUNCTION("IF('Business Rule &amp; Permission'!G9="""","""",IFERROR(GOOGLETRANSLATE('Business Rule &amp; Permission'!G9,""en"",""vi""),'Business Rule &amp; Permission'!G9))"),"Xác thực")</f>
        <v>Xác thực</v>
      </c>
      <c r="H9" s="40" t="str">
        <f>IF('Business Rule &amp; Permission'!H9="","",SWITCH('Business Rule &amp; Permission'!H9,"Must-have","Bắt buộc","Should-have","Nên có","Could-have","Có thể có",'Business Rule &amp; Permission'!H9))</f>
        <v>Bắt buộc</v>
      </c>
      <c r="I9" s="40" t="str">
        <f>IF('Business Rule &amp; Permission'!I9="","",SWITCH('Business Rule &amp; Permission'!I9,"Not Started","Chưa bắt đầu","In Progress","Đang làm","Done","Hoàn thành",'Business Rule &amp; Permission'!I9))</f>
        <v>Chưa bắt đầu</v>
      </c>
      <c r="J9" s="40" t="str">
        <f>IFERROR(__xludf.DUMMYFUNCTION("IF('Business Rule &amp; Permission'!J9="""","""",IFERROR(GOOGLETRANSLATE('Business Rule &amp; Permission'!J9,""en"",""vi""),'Business Rule &amp; Permission'!J9))"),"Tài khoản đã được xác minh hiện có sẽ được chuyển hướng đến trang đăng nhập hoặc quên mật khẩu; tài khoản chưa được xác minh hiện có thể gửi lại yêu cầu xác minh.")</f>
        <v>Tài khoản đã được xác minh hiện có sẽ được chuyển hướng đến trang đăng nhập hoặc quên mật khẩu; tài khoản chưa được xác minh hiện có thể gửi lại yêu cầu xác minh.</v>
      </c>
    </row>
    <row r="10" ht="22.5" customHeight="1">
      <c r="A10" s="40" t="str">
        <f>IF('Business Rule &amp; Permission'!A10="","",'Business Rule &amp; Permission'!A10)</f>
        <v>BR-WS-01</v>
      </c>
      <c r="B10" s="40" t="str">
        <f>IFERROR(__xludf.DUMMYFUNCTION("IF('Business Rule &amp; Permission'!B10="""","""",IFERROR(GOOGLETRANSLATE('Business Rule &amp; Permission'!B10,""en"",""vi""),'Business Rule &amp; Permission'!B10))"),"Không gian làm việc")</f>
        <v>Không gian làm việc</v>
      </c>
      <c r="C10" s="40" t="str">
        <f>IFERROR(__xludf.DUMMYFUNCTION("IF('Business Rule &amp; Permission'!C10="""","""",IFERROR(GOOGLETRANSLATE('Business Rule &amp; Permission'!C10,""en"",""vi""),'Business Rule &amp; Permission'!C10))"),"Người dùng đầu tiên tạo Không gian làm việc gia đình sẽ trở thành người quản lý gia đình chính duy nhất.")</f>
        <v>Người dùng đầu tiên tạo Không gian làm việc gia đình sẽ trở thành người quản lý gia đình chính duy nhất.</v>
      </c>
      <c r="D10" s="40" t="str">
        <f>IFERROR(__xludf.DUMMYFUNCTION("IF('Business Rule &amp; Permission'!D10="""","""",IFERROR(GOOGLETRANSLATE('Business Rule &amp; Permission'!D10,""en"",""vi""),'Business Rule &amp; Permission'!D10))"),"Người đại diện gia đình/Người dùng mới")</f>
        <v>Người đại diện gia đình/Người dùng mới</v>
      </c>
      <c r="E10" s="40" t="str">
        <f>IF('Business Rule &amp; Permission'!E10="","",SWITCH('Business Rule &amp; Permission'!E10,"Yes","Có","No","Không","N/A","Không áp dụng","Can view/manage shared part if delegated","Có thể xem/quản lý phần dùng chung nếu được ủy quyền",'Business Rule &amp; Permission'!E10))</f>
        <v>Không</v>
      </c>
      <c r="F10" s="40" t="str">
        <f>IF('Business Rule &amp; Permission'!F10="","",'Business Rule &amp; Permission'!F10)</f>
        <v>UC12</v>
      </c>
      <c r="G10" s="40" t="str">
        <f>IFERROR(__xludf.DUMMYFUNCTION("IF('Business Rule &amp; Permission'!G10="""","""",IFERROR(GOOGLETRANSLATE('Business Rule &amp; Permission'!G10,""en"",""vi""),'Business Rule &amp; Permission'!G10))"),"Gia đình")</f>
        <v>Gia đình</v>
      </c>
      <c r="H10" s="40" t="str">
        <f>IF('Business Rule &amp; Permission'!H10="","",SWITCH('Business Rule &amp; Permission'!H10,"Must-have","Bắt buộc","Should-have","Nên có","Could-have","Có thể có",'Business Rule &amp; Permission'!H10))</f>
        <v>Bắt buộc</v>
      </c>
      <c r="I10" s="40" t="str">
        <f>IF('Business Rule &amp; Permission'!I10="","",SWITCH('Business Rule &amp; Permission'!I10,"Not Started","Chưa bắt đầu","In Progress","Đang làm","Done","Hoàn thành",'Business Rule &amp; Permission'!I10))</f>
        <v>Chưa bắt đầu</v>
      </c>
      <c r="J10" s="40" t="str">
        <f>IFERROR(__xludf.DUMMYFUNCTION("IF('Business Rule &amp; Permission'!J10="""","""",IFERROR(GOOGLETRANSLATE('Business Rule &amp; Permission'!J10,""en"",""vi""),'Business Rule &amp; Permission'!J10))"),"Điểm cần xem xét lại quan trọng.")</f>
        <v>Điểm cần xem xét lại quan trọng.</v>
      </c>
    </row>
    <row r="11" ht="22.5" customHeight="1">
      <c r="A11" s="40" t="str">
        <f>IF('Business Rule &amp; Permission'!A12="","",'Business Rule &amp; Permission'!A12)</f>
        <v>BR-SUB-01</v>
      </c>
      <c r="B11" s="40" t="str">
        <f>IFERROR(__xludf.DUMMYFUNCTION("IF('Business Rule &amp; Permission'!B12="""","""",IFERROR(GOOGLETRANSLATE('Business Rule &amp; Permission'!B12,""en"",""vi""),'Business Rule &amp; Permission'!B12))"),"Đăng ký")</f>
        <v>Đăng ký</v>
      </c>
      <c r="C11" s="40" t="str">
        <f>IFERROR(__xludf.DUMMYFUNCTION("IF('Business Rule &amp; Permission'!C12="""","""",IFERROR(GOOGLETRANSLATE('Business Rule &amp; Permission'!C12,""en"",""vi""),'Business Rule &amp; Permission'!C12))"),"Hiện tại, các gói đăng ký chỉ giới hạn ở phiên bản Miễn phí, Plus và Premium. Các gói trả phí chỉ có hiệu lực hàng năm.")</f>
        <v>Hiện tại, các gói đăng ký chỉ giới hạn ở phiên bản Miễn phí, Plus và Premium. Các gói trả phí chỉ có hiệu lực hàng năm.</v>
      </c>
      <c r="D11" s="40" t="str">
        <f>IFERROR(__xludf.DUMMYFUNCTION("IF('Business Rule &amp; Permission'!D12="""","""",IFERROR(GOOGLETRANSLATE('Business Rule &amp; Permission'!D12,""en"",""vi""),'Business Rule &amp; Permission'!D12))"),"Quản trị viên, Quản lý gia đình")</f>
        <v>Quản trị viên, Quản lý gia đình</v>
      </c>
      <c r="E11" s="40" t="str">
        <f>IF('Business Rule &amp; Permission'!E12="","",SWITCH('Business Rule &amp; Permission'!E12,"Yes","Có","No","Không","N/A","Không áp dụng","Can view/manage shared part if delegated","Có thể xem/quản lý phần dùng chung nếu được ủy quyền",'Business Rule &amp; Permission'!E12))</f>
        <v>Không</v>
      </c>
      <c r="F11" s="40" t="str">
        <f>IF('Business Rule &amp; Permission'!F12="","",'Business Rule &amp; Permission'!F12)</f>
        <v>UC01, UC12, UC76-UC78</v>
      </c>
      <c r="G11" s="40" t="str">
        <f>IFERROR(__xludf.DUMMYFUNCTION("IF('Business Rule &amp; Permission'!G12="""","""",IFERROR(GOOGLETRANSLATE('Business Rule &amp; Permission'!G12,""en"",""vi""),'Business Rule &amp; Permission'!G12))"),"Đăng ký")</f>
        <v>Đăng ký</v>
      </c>
      <c r="H11" s="40" t="str">
        <f>IF('Business Rule &amp; Permission'!H12="","",SWITCH('Business Rule &amp; Permission'!H12,"Must-have","Bắt buộc","Should-have","Nên có","Could-have","Có thể có",'Business Rule &amp; Permission'!H12))</f>
        <v>Bắt buộc</v>
      </c>
      <c r="I11" s="40" t="str">
        <f>IF('Business Rule &amp; Permission'!I12="","",SWITCH('Business Rule &amp; Permission'!I12,"Not Started","Chưa bắt đầu","In Progress","Đang làm","Done","Hoàn thành",'Business Rule &amp; Permission'!I12))</f>
        <v>Chưa bắt đầu</v>
      </c>
      <c r="J11" s="40" t="str">
        <f>IFERROR(__xludf.DUMMYFUNCTION("IF('Business Rule &amp; Permission'!J12="""","""",IFERROR(GOOGLETRANSLATE('Business Rule &amp; Permission'!J12,""en"",""vi""),'Business Rule &amp; Permission'!J12))"),"Các gói dịch vụ được phân biệt dựa trên quyền truy cập tính năng, chứ không chủ yếu dựa trên số lượng thành viên.")</f>
        <v>Các gói dịch vụ được phân biệt dựa trên quyền truy cập tính năng, chứ không chủ yếu dựa trên số lượng thành viên.</v>
      </c>
    </row>
    <row r="12" ht="22.5" customHeight="1">
      <c r="A12" s="40" t="str">
        <f>IF('Business Rule &amp; Permission'!A13="","",'Business Rule &amp; Permission'!A13)</f>
        <v>BR-SUB-02</v>
      </c>
      <c r="B12" s="40" t="str">
        <f>IFERROR(__xludf.DUMMYFUNCTION("IF('Business Rule &amp; Permission'!B13="""","""",IFERROR(GOOGLETRANSLATE('Business Rule &amp; Permission'!B13,""en"",""vi""),'Business Rule &amp; Permission'!B13))"),"Đăng ký")</f>
        <v>Đăng ký</v>
      </c>
      <c r="C12" s="40" t="str">
        <f>IFERROR(__xludf.DUMMYFUNCTION("IF('Business Rule &amp; Permission'!C13="""","""",IFERROR(GOOGLETRANSLATE('Business Rule &amp; Permission'!C13,""en"",""vi""),'Business Rule &amp; Permission'!C13))"),"Gói miễn phí được áp dụng mặc định khi tạo Không gian làm việc gia đình và không yêu cầu thanh toán hàng năm.")</f>
        <v>Gói miễn phí được áp dụng mặc định khi tạo Không gian làm việc gia đình và không yêu cầu thanh toán hàng năm.</v>
      </c>
      <c r="D12" s="40" t="str">
        <f>IFERROR(__xludf.DUMMYFUNCTION("IF('Business Rule &amp; Permission'!D13="""","""",IFERROR(GOOGLETRANSLATE('Business Rule &amp; Permission'!D13,""en"",""vi""),'Business Rule &amp; Permission'!D13))"),"Không gian làm việc gia đình")</f>
        <v>Không gian làm việc gia đình</v>
      </c>
      <c r="E12" s="40" t="str">
        <f>IF('Business Rule &amp; Permission'!E13="","",SWITCH('Business Rule &amp; Permission'!E13,"Yes","Có","No","Không","N/A","Không áp dụng","Can view/manage shared part if delegated","Có thể xem/quản lý phần dùng chung nếu được ủy quyền",'Business Rule &amp; Permission'!E13))</f>
        <v>Không</v>
      </c>
      <c r="F12" s="40" t="str">
        <f>IF('Business Rule &amp; Permission'!F13="","",'Business Rule &amp; Permission'!F13)</f>
        <v>UC01, UC12, UC76</v>
      </c>
      <c r="G12" s="40" t="str">
        <f>IFERROR(__xludf.DUMMYFUNCTION("IF('Business Rule &amp; Permission'!G13="""","""",IFERROR(GOOGLETRANSLATE('Business Rule &amp; Permission'!G13,""en"",""vi""),'Business Rule &amp; Permission'!G13))"),"Đăng ký")</f>
        <v>Đăng ký</v>
      </c>
      <c r="H12" s="40" t="str">
        <f>IF('Business Rule &amp; Permission'!H13="","",SWITCH('Business Rule &amp; Permission'!H13,"Must-have","Bắt buộc","Should-have","Nên có","Could-have","Có thể có",'Business Rule &amp; Permission'!H13))</f>
        <v>Bắt buộc</v>
      </c>
      <c r="I12" s="40" t="str">
        <f>IF('Business Rule &amp; Permission'!I13="","",SWITCH('Business Rule &amp; Permission'!I13,"Not Started","Chưa bắt đầu","In Progress","Đang làm","Done","Hoàn thành",'Business Rule &amp; Permission'!I13))</f>
        <v>Chưa bắt đầu</v>
      </c>
      <c r="J12" s="40" t="str">
        <f>IFERROR(__xludf.DUMMYFUNCTION("IF('Business Rule &amp; Permission'!J13="""","""",IFERROR(GOOGLETRANSLATE('Business Rule &amp; Permission'!J13,""en"",""vi""),'Business Rule &amp; Permission'!J13))"),"Phiên bản miễn phí dành cho thời gian dùng thử/sử dụng cơ bản.")</f>
        <v>Phiên bản miễn phí dành cho thời gian dùng thử/sử dụng cơ bản.</v>
      </c>
    </row>
    <row r="13" ht="22.5" customHeight="1">
      <c r="A13" s="40" t="str">
        <f>IF('Business Rule &amp; Permission'!A14="","",'Business Rule &amp; Permission'!A14)</f>
        <v>BR-SUB-03</v>
      </c>
      <c r="B13" s="40" t="str">
        <f>IFERROR(__xludf.DUMMYFUNCTION("IF('Business Rule &amp; Permission'!B14="""","""",IFERROR(GOOGLETRANSLATE('Business Rule &amp; Permission'!B14,""en"",""vi""),'Business Rule &amp; Permission'!B14))"),"Đăng ký")</f>
        <v>Đăng ký</v>
      </c>
      <c r="C13" s="40" t="str">
        <f>IFERROR(__xludf.DUMMYFUNCTION("IF('Business Rule &amp; Permission'!C14="""","""",IFERROR(GOOGLETRANSLATE('Business Rule &amp; Permission'!C14,""en"",""vi""),'Business Rule &amp; Permission'!C14))"),"Gói Plus là gói trả phí hàng năm, mở khóa toàn bộ các tính năng lập kế hoạch tài chính, báo cáo so sánh kế hoạch và thực tế, cảnh báo ngân sách, xuất báo cáo và quản lý phần thưởng nhiệm vụ đầy đủ.")</f>
        <v>Gói Plus là gói trả phí hàng năm, mở khóa toàn bộ các tính năng lập kế hoạch tài chính, báo cáo so sánh kế hoạch và thực tế, cảnh báo ngân sách, xuất báo cáo và quản lý phần thưởng nhiệm vụ đầy đủ.</v>
      </c>
      <c r="D13" s="40" t="str">
        <f>IFERROR(__xludf.DUMMYFUNCTION("IF('Business Rule &amp; Permission'!D14="""","""",IFERROR(GOOGLETRANSLATE('Business Rule &amp; Permission'!D14,""en"",""vi""),'Business Rule &amp; Permission'!D14))"),"Không gian làm việc gia đình")</f>
        <v>Không gian làm việc gia đình</v>
      </c>
      <c r="E13" s="40" t="str">
        <f>IF('Business Rule &amp; Permission'!E14="","",SWITCH('Business Rule &amp; Permission'!E14,"Yes","Có","No","Không","N/A","Không áp dụng","Can view/manage shared part if delegated","Có thể xem/quản lý phần dùng chung nếu được ủy quyền",'Business Rule &amp; Permission'!E14))</f>
        <v>Không</v>
      </c>
      <c r="F13" s="40" t="str">
        <f>IF('Business Rule &amp; Permission'!F14="","",'Business Rule &amp; Permission'!F14)</f>
        <v>UC01, UC29, UC30, UC45-UC49, UC76, UC77</v>
      </c>
      <c r="G13" s="40" t="str">
        <f>IFERROR(__xludf.DUMMYFUNCTION("IF('Business Rule &amp; Permission'!G14="""","""",IFERROR(GOOGLETRANSLATE('Business Rule &amp; Permission'!G14,""en"",""vi""),'Business Rule &amp; Permission'!G14))"),"Đăng ký")</f>
        <v>Đăng ký</v>
      </c>
      <c r="H13" s="40" t="str">
        <f>IF('Business Rule &amp; Permission'!H14="","",SWITCH('Business Rule &amp; Permission'!H14,"Must-have","Bắt buộc","Should-have","Nên có","Could-have","Có thể có",'Business Rule &amp; Permission'!H14))</f>
        <v>Bắt buộc</v>
      </c>
      <c r="I13" s="40" t="str">
        <f>IF('Business Rule &amp; Permission'!I14="","",SWITCH('Business Rule &amp; Permission'!I14,"Not Started","Chưa bắt đầu","In Progress","Đang làm","Done","Hoàn thành",'Business Rule &amp; Permission'!I14))</f>
        <v>Chưa bắt đầu</v>
      </c>
      <c r="J13" s="40" t="str">
        <f>IFERROR(__xludf.DUMMYFUNCTION("IF('Business Rule &amp; Permission'!J14="""","""",IFERROR(GOOGLETRANSLATE('Business Rule &amp; Permission'!J14,""en"",""vi""),'Business Rule &amp; Permission'!J14))"),"Plus là gói quản lý tài chính chính của gia đình.")</f>
        <v>Plus là gói quản lý tài chính chính của gia đình.</v>
      </c>
    </row>
    <row r="14" ht="22.5" customHeight="1">
      <c r="A14" s="40" t="str">
        <f>IF('Business Rule &amp; Permission'!A15="","",'Business Rule &amp; Permission'!A15)</f>
        <v>BR-SUB-04</v>
      </c>
      <c r="B14" s="40" t="str">
        <f>IFERROR(__xludf.DUMMYFUNCTION("IF('Business Rule &amp; Permission'!B15="""","""",IFERROR(GOOGLETRANSLATE('Business Rule &amp; Permission'!B15,""en"",""vi""),'Business Rule &amp; Permission'!B15))"),"Đăng ký")</f>
        <v>Đăng ký</v>
      </c>
      <c r="C14" s="40" t="str">
        <f>IFERROR(__xludf.DUMMYFUNCTION("IF('Business Rule &amp; Permission'!C15="""","""",IFERROR(GOOGLETRANSLATE('Business Rule &amp; Permission'!C15,""en"",""vi""),'Business Rule &amp; Permission'!C15))"),"Gói Premium là gói trả phí hàng năm, mở khóa các tính năng như phân tích tài chính bằng AI, gợi ý tiết kiệm bằng AI, tín hiệu SOS trên thiết bị đeo, cảnh báo phát hiện té ngã và lịch sử an toàn nâng cao.")</f>
        <v>Gói Premium là gói trả phí hàng năm, mở khóa các tính năng như phân tích tài chính bằng AI, gợi ý tiết kiệm bằng AI, tín hiệu SOS trên thiết bị đeo, cảnh báo phát hiện té ngã và lịch sử an toàn nâng cao.</v>
      </c>
      <c r="D14" s="40" t="str">
        <f>IFERROR(__xludf.DUMMYFUNCTION("IF('Business Rule &amp; Permission'!D15="""","""",IFERROR(GOOGLETRANSLATE('Business Rule &amp; Permission'!D15,""en"",""vi""),'Business Rule &amp; Permission'!D15))"),"Không gian làm việc gia đình")</f>
        <v>Không gian làm việc gia đình</v>
      </c>
      <c r="E14" s="40" t="str">
        <f>IF('Business Rule &amp; Permission'!E15="","",SWITCH('Business Rule &amp; Permission'!E15,"Yes","Có","No","Không","N/A","Không áp dụng","Can view/manage shared part if delegated","Có thể xem/quản lý phần dùng chung nếu được ủy quyền",'Business Rule &amp; Permission'!E15))</f>
        <v>Không</v>
      </c>
      <c r="F14" s="40" t="str">
        <f>IF('Business Rule &amp; Permission'!F15="","",'Business Rule &amp; Permission'!F15)</f>
        <v>UC01, UC56-UC59, UC65-UC68, UC76, UC77</v>
      </c>
      <c r="G14" s="40" t="str">
        <f>IFERROR(__xludf.DUMMYFUNCTION("IF('Business Rule &amp; Permission'!G15="""","""",IFERROR(GOOGLETRANSLATE('Business Rule &amp; Permission'!G15,""en"",""vi""),'Business Rule &amp; Permission'!G15))"),"Đăng ký / AI / SOS")</f>
        <v>Đăng ký / AI / SOS</v>
      </c>
      <c r="H14" s="40" t="str">
        <f>IF('Business Rule &amp; Permission'!H15="","",SWITCH('Business Rule &amp; Permission'!H15,"Must-have","Bắt buộc","Should-have","Nên có","Could-have","Có thể có",'Business Rule &amp; Permission'!H15))</f>
        <v>Bắt buộc</v>
      </c>
      <c r="I14" s="40" t="str">
        <f>IF('Business Rule &amp; Permission'!I15="","",SWITCH('Business Rule &amp; Permission'!I15,"Not Started","Chưa bắt đầu","In Progress","Đang làm","Done","Hoàn thành",'Business Rule &amp; Permission'!I15))</f>
        <v>Chưa bắt đầu</v>
      </c>
      <c r="J14" s="40" t="str">
        <f>IFERROR(__xludf.DUMMYFUNCTION("IF('Business Rule &amp; Permission'!J15="""","""",IFERROR(GOOGLETRANSLATE('Business Rule &amp; Permission'!J15,""en"",""vi""),'Business Rule &amp; Permission'!J15))"),"Phiên bản Premium khác biệt nhờ giá trị Trí tuệ Nhân tạo (AI) và An toàn.")</f>
        <v>Phiên bản Premium khác biệt nhờ giá trị Trí tuệ Nhân tạo (AI) và An toàn.</v>
      </c>
    </row>
    <row r="15" ht="22.5" customHeight="1">
      <c r="A15" s="40" t="str">
        <f>IF('Business Rule &amp; Permission'!A16="","",'Business Rule &amp; Permission'!A16)</f>
        <v>BR-SUB-05</v>
      </c>
      <c r="B15" s="40" t="str">
        <f>IFERROR(__xludf.DUMMYFUNCTION("IF('Business Rule &amp; Permission'!B16="""","""",IFERROR(GOOGLETRANSLATE('Business Rule &amp; Permission'!B16,""en"",""vi""),'Business Rule &amp; Permission'!B16))"),"Đăng ký")</f>
        <v>Đăng ký</v>
      </c>
      <c r="C15" s="40" t="str">
        <f>IFERROR(__xludf.DUMMYFUNCTION("IF('Business Rule &amp; Permission'!C16="""","""",IFERROR(GOOGLETRANSLATE('Business Rule &amp; Permission'!C16,""en"",""vi""),'Business Rule &amp; Permission'!C16))"),"Nếu gói đăng ký hàng năm hết hạn, các tính năng nâng cao sẽ bị khóa nhưng dữ liệu gia đình hiện có vẫn có thể xem được theo quyền truy cập.")</f>
        <v>Nếu gói đăng ký hàng năm hết hạn, các tính năng nâng cao sẽ bị khóa nhưng dữ liệu gia đình hiện có vẫn có thể xem được theo quyền truy cập.</v>
      </c>
      <c r="D15" s="40" t="str">
        <f>IFERROR(__xludf.DUMMYFUNCTION("IF('Business Rule &amp; Permission'!D16="""","""",IFERROR(GOOGLETRANSLATE('Business Rule &amp; Permission'!D16,""en"",""vi""),'Business Rule &amp; Permission'!D16))"),"Không gian làm việc gia đình")</f>
        <v>Không gian làm việc gia đình</v>
      </c>
      <c r="E15" s="40" t="str">
        <f>IF('Business Rule &amp; Permission'!E16="","",SWITCH('Business Rule &amp; Permission'!E16,"Yes","Có","No","Không","N/A","Không áp dụng","Can view/manage shared part if delegated","Có thể xem/quản lý phần dùng chung nếu được ủy quyền",'Business Rule &amp; Permission'!E16))</f>
        <v>Không</v>
      </c>
      <c r="F15" s="40" t="str">
        <f>IF('Business Rule &amp; Permission'!F16="","",'Business Rule &amp; Permission'!F16)</f>
        <v>UC76, UC78</v>
      </c>
      <c r="G15" s="40" t="str">
        <f>IFERROR(__xludf.DUMMYFUNCTION("IF('Business Rule &amp; Permission'!G16="""","""",IFERROR(GOOGLETRANSLATE('Business Rule &amp; Permission'!G16,""en"",""vi""),'Business Rule &amp; Permission'!G16))"),"Đăng ký")</f>
        <v>Đăng ký</v>
      </c>
      <c r="H15" s="40" t="str">
        <f>IF('Business Rule &amp; Permission'!H16="","",SWITCH('Business Rule &amp; Permission'!H16,"Must-have","Bắt buộc","Should-have","Nên có","Could-have","Có thể có",'Business Rule &amp; Permission'!H16))</f>
        <v>Nên có</v>
      </c>
      <c r="I15" s="40" t="str">
        <f>IF('Business Rule &amp; Permission'!I16="","",SWITCH('Business Rule &amp; Permission'!I16,"Not Started","Chưa bắt đầu","In Progress","Đang làm","Done","Hoàn thành",'Business Rule &amp; Permission'!I16))</f>
        <v>Chưa bắt đầu</v>
      </c>
      <c r="J15" s="40" t="str">
        <f>IFERROR(__xludf.DUMMYFUNCTION("IF('Business Rule &amp; Permission'!J16="""","""",IFERROR(GOOGLETRANSLATE('Business Rule &amp; Permission'!J16,""en"",""vi""),'Business Rule &amp; Permission'!J16))"),"Tránh xóa hoặc ẩn dữ liệu người dùng hiện có sau khi hết hạn.")</f>
        <v>Tránh xóa hoặc ẩn dữ liệu người dùng hiện có sau khi hết hạn.</v>
      </c>
    </row>
    <row r="16" ht="22.5" customHeight="1">
      <c r="A16" s="40" t="str">
        <f>IF('Business Rule &amp; Permission'!A17="","",'Business Rule &amp; Permission'!A17)</f>
        <v>BR-SUB-06</v>
      </c>
      <c r="B16" s="40" t="str">
        <f>IFERROR(__xludf.DUMMYFUNCTION("IF('Business Rule &amp; Permission'!B17="""","""",IFERROR(GOOGLETRANSLATE('Business Rule &amp; Permission'!B17,""en"",""vi""),'Business Rule &amp; Permission'!B17))"),"Đăng ký")</f>
        <v>Đăng ký</v>
      </c>
      <c r="C16" s="40" t="str">
        <f>IFERROR(__xludf.DUMMYFUNCTION("IF('Business Rule &amp; Permission'!C17="""","""",IFERROR(GOOGLETRANSLATE('Business Rule &amp; Permission'!C17,""en"",""vi""),'Business Rule &amp; Permission'!C17))"),"Chỉ Quản trị viên Gia đình mới có thể nâng cấp, gia hạn hoặc hủy gói đăng ký hàng năm.")</f>
        <v>Chỉ Quản trị viên Gia đình mới có thể nâng cấp, gia hạn hoặc hủy gói đăng ký hàng năm.</v>
      </c>
      <c r="D16" s="40" t="str">
        <f>IFERROR(__xludf.DUMMYFUNCTION("IF('Business Rule &amp; Permission'!D17="""","""",IFERROR(GOOGLETRANSLATE('Business Rule &amp; Permission'!D17,""en"",""vi""),'Business Rule &amp; Permission'!D17))"),"Quản lý gia đình")</f>
        <v>Quản lý gia đình</v>
      </c>
      <c r="E16" s="40" t="str">
        <f>IF('Business Rule &amp; Permission'!E17="","",SWITCH('Business Rule &amp; Permission'!E17,"Yes","Có","No","Không","N/A","Không áp dụng","Can view/manage shared part if delegated","Có thể xem/quản lý phần dùng chung nếu được ủy quyền",'Business Rule &amp; Permission'!E17))</f>
        <v>Không</v>
      </c>
      <c r="F16" s="40" t="str">
        <f>IF('Business Rule &amp; Permission'!F17="","",'Business Rule &amp; Permission'!F17)</f>
        <v>UC76-UC78</v>
      </c>
      <c r="G16" s="40" t="str">
        <f>IFERROR(__xludf.DUMMYFUNCTION("IF('Business Rule &amp; Permission'!G17="""","""",IFERROR(GOOGLETRANSLATE('Business Rule &amp; Permission'!G17,""en"",""vi""),'Business Rule &amp; Permission'!G17))"),"Đăng ký")</f>
        <v>Đăng ký</v>
      </c>
      <c r="H16" s="40" t="str">
        <f>IF('Business Rule &amp; Permission'!H17="","",SWITCH('Business Rule &amp; Permission'!H17,"Must-have","Bắt buộc","Should-have","Nên có","Could-have","Có thể có",'Business Rule &amp; Permission'!H17))</f>
        <v>Bắt buộc</v>
      </c>
      <c r="I16" s="40" t="str">
        <f>IF('Business Rule &amp; Permission'!I17="","",SWITCH('Business Rule &amp; Permission'!I17,"Not Started","Chưa bắt đầu","In Progress","Đang làm","Done","Hoàn thành",'Business Rule &amp; Permission'!I17))</f>
        <v>Chưa bắt đầu</v>
      </c>
      <c r="J16" s="40" t="str">
        <f>IFERROR(__xludf.DUMMYFUNCTION("IF('Business Rule &amp; Permission'!J17="""","""",IFERROR(GOOGLETRANSLATE('Business Rule &amp; Permission'!J17,""en"",""vi""),'Business Rule &amp; Permission'!J17))"),"Phó không nên quản lý việc thanh toán trừ khi được cho phép rõ ràng trong tương lai.")</f>
        <v>Phó không nên quản lý việc thanh toán trừ khi được cho phép rõ ràng trong tương lai.</v>
      </c>
    </row>
    <row r="17" ht="22.5" customHeight="1">
      <c r="A17" s="40" t="str">
        <f>IF('Business Rule &amp; Permission'!A18="","",'Business Rule &amp; Permission'!A18)</f>
        <v>BR-SUB-07</v>
      </c>
      <c r="B17" s="40" t="str">
        <f>IFERROR(__xludf.DUMMYFUNCTION("IF('Business Rule &amp; Permission'!B18="""","""",IFERROR(GOOGLETRANSLATE('Business Rule &amp; Permission'!B18,""en"",""vi""),'Business Rule &amp; Permission'!B18))"),"Đăng ký/Truy cập tính năng")</f>
        <v>Đăng ký/Truy cập tính năng</v>
      </c>
      <c r="C17" s="40" t="str">
        <f>IFERROR(__xludf.DUMMYFUNCTION("IF('Business Rule &amp; Permission'!C18="""","""",IFERROR(GOOGLETRANSLATE('Business Rule &amp; Permission'!C18,""en"",""vi""),'Business Rule &amp; Permission'!C18))"),"Quyền truy cập tính năng được kiểm soát bởi gói đăng ký hiện tại và cần được kiểm tra trước khi sử dụng các chức năng nâng cao.")</f>
        <v>Quyền truy cập tính năng được kiểm soát bởi gói đăng ký hiện tại và cần được kiểm tra trước khi sử dụng các chức năng nâng cao.</v>
      </c>
      <c r="D17" s="40" t="str">
        <f>IFERROR(__xludf.DUMMYFUNCTION("IF('Business Rule &amp; Permission'!D18="""","""",IFERROR(GOOGLETRANSLATE('Business Rule &amp; Permission'!D18,""en"",""vi""),'Business Rule &amp; Permission'!D18))"),"Không gian làm việc gia đình, Hệ thống")</f>
        <v>Không gian làm việc gia đình, Hệ thống</v>
      </c>
      <c r="E17" s="40" t="str">
        <f>IF('Business Rule &amp; Permission'!E18="","",SWITCH('Business Rule &amp; Permission'!E18,"Yes","Có","No","Không","N/A","Không áp dụng","Can view/manage shared part if delegated","Có thể xem/quản lý phần dùng chung nếu được ủy quyền",'Business Rule &amp; Permission'!E18))</f>
        <v>Không</v>
      </c>
      <c r="F17" s="40" t="str">
        <f>IF('Business Rule &amp; Permission'!F18="","",'Business Rule &amp; Permission'!F18)</f>
        <v>UC01, UC76-UC78</v>
      </c>
      <c r="G17" s="40" t="str">
        <f>IFERROR(__xludf.DUMMYFUNCTION("IF('Business Rule &amp; Permission'!G18="""","""",IFERROR(GOOGLETRANSLATE('Business Rule &amp; Permission'!G18,""en"",""vi""),'Business Rule &amp; Permission'!G18))"),"Đăng ký/Truy cập tính năng")</f>
        <v>Đăng ký/Truy cập tính năng</v>
      </c>
      <c r="H17" s="40" t="str">
        <f>IF('Business Rule &amp; Permission'!H18="","",SWITCH('Business Rule &amp; Permission'!H18,"Must-have","Bắt buộc","Should-have","Nên có","Could-have","Có thể có",'Business Rule &amp; Permission'!H18))</f>
        <v>Bắt buộc</v>
      </c>
      <c r="I17" s="40" t="str">
        <f>IF('Business Rule &amp; Permission'!I18="","",SWITCH('Business Rule &amp; Permission'!I18,"Not Started","Chưa bắt đầu","In Progress","Đang làm","Done","Hoàn thành",'Business Rule &amp; Permission'!I18))</f>
        <v>Chưa bắt đầu</v>
      </c>
      <c r="J17" s="40" t="str">
        <f>IFERROR(__xludf.DUMMYFUNCTION("IF('Business Rule &amp; Permission'!J18="""","""",IFERROR(GOOGLETRANSLATE('Business Rule &amp; Permission'!J18,""en"",""vi""),'Business Rule &amp; Permission'!J18))"),"Các cổng tính năng phải phù hợp với Ma trận Gói đăng ký.")</f>
        <v>Các cổng tính năng phải phù hợp với Ma trận Gói đăng ký.</v>
      </c>
    </row>
    <row r="18" ht="22.5" customHeight="1">
      <c r="A18" s="40" t="str">
        <f>IF('Business Rule &amp; Permission'!A21="","",'Business Rule &amp; Permission'!A21)</f>
        <v>BR-SUB-10</v>
      </c>
      <c r="B18" s="40" t="str">
        <f>IFERROR(__xludf.DUMMYFUNCTION("IF('Business Rule &amp; Permission'!B21="""","""",IFERROR(GOOGLETRANSLATE('Business Rule &amp; Permission'!B21,""en"",""vi""),'Business Rule &amp; Permission'!B21))"),"Đăng ký/Kích hoạt tính năng")</f>
        <v>Đăng ký/Kích hoạt tính năng</v>
      </c>
      <c r="C18" s="40" t="str">
        <f>IFERROR(__xludf.DUMMYFUNCTION("IF('Business Rule &amp; Permission'!C21="""","""",IFERROR(GOOGLETRANSLATE('Business Rule &amp; Permission'!C21,""en"",""vi""),'Business Rule &amp; Permission'!C21))"),"Sau khi thanh toán nâng cấp thành công, các tính năng Premium sẽ được kích hoạt ngay lập tức trong khi ngày hết hạn của gói đăng ký ban đầu vẫn không thay đổi.")</f>
        <v>Sau khi thanh toán nâng cấp thành công, các tính năng Premium sẽ được kích hoạt ngay lập tức trong khi ngày hết hạn của gói đăng ký ban đầu vẫn không thay đổi.</v>
      </c>
      <c r="D18" s="40" t="str">
        <f>IFERROR(__xludf.DUMMYFUNCTION("IF('Business Rule &amp; Permission'!D21="""","""",IFERROR(GOOGLETRANSLATE('Business Rule &amp; Permission'!D21,""en"",""vi""),'Business Rule &amp; Permission'!D21))"),"Quản lý gia đình, Hệ thống")</f>
        <v>Quản lý gia đình, Hệ thống</v>
      </c>
      <c r="E18" s="40" t="str">
        <f>IF('Business Rule &amp; Permission'!E21="","",SWITCH('Business Rule &amp; Permission'!E21,"Yes","Có","No","Không","N/A","Không áp dụng","Can view/manage shared part if delegated","Có thể xem/quản lý phần dùng chung nếu được ủy quyền",'Business Rule &amp; Permission'!E21))</f>
        <v>Không</v>
      </c>
      <c r="F18" s="40" t="str">
        <f>IF('Business Rule &amp; Permission'!F21="","",'Business Rule &amp; Permission'!F21)</f>
        <v>UC76, UC77</v>
      </c>
      <c r="G18" s="40" t="str">
        <f>IFERROR(__xludf.DUMMYFUNCTION("IF('Business Rule &amp; Permission'!G21="""","""",IFERROR(GOOGLETRANSLATE('Business Rule &amp; Permission'!G21,""en"",""vi""),'Business Rule &amp; Permission'!G21))"),"Đăng ký/Truy cập tính năng")</f>
        <v>Đăng ký/Truy cập tính năng</v>
      </c>
      <c r="H18" s="40" t="str">
        <f>IF('Business Rule &amp; Permission'!H21="","",SWITCH('Business Rule &amp; Permission'!H21,"Must-have","Bắt buộc","Should-have","Nên có","Could-have","Có thể có",'Business Rule &amp; Permission'!H21))</f>
        <v>Bắt buộc</v>
      </c>
      <c r="I18" s="40" t="str">
        <f>IF('Business Rule &amp; Permission'!I21="","",SWITCH('Business Rule &amp; Permission'!I21,"Not Started","Chưa bắt đầu","In Progress","Đang làm","Done","Hoàn thành",'Business Rule &amp; Permission'!I21))</f>
        <v>Chưa bắt đầu</v>
      </c>
      <c r="J18" s="40" t="str">
        <f>IFERROR(__xludf.DUMMYFUNCTION("IF('Business Rule &amp; Permission'!J21="""","""",IFERROR(GOOGLETRANSLATE('Business Rule &amp; Permission'!J21,""en"",""vi""),'Business Rule &amp; Permission'!J21))"),"Lần gia hạn tiếp theo sẽ sử dụng mức giá hàng năm của gói Premium.")</f>
        <v>Lần gia hạn tiếp theo sẽ sử dụng mức giá hàng năm của gói Premium.</v>
      </c>
    </row>
    <row r="19" ht="22.5" customHeight="1">
      <c r="A19" s="40" t="str">
        <f>IF('Business Rule &amp; Permission'!A22="","",'Business Rule &amp; Permission'!A22)</f>
        <v>BR-FIN-01</v>
      </c>
      <c r="B19" s="40" t="str">
        <f>IFERROR(__xludf.DUMMYFUNCTION("IF('Business Rule &amp; Permission'!B22="""","""",IFERROR(GOOGLETRANSLATE('Business Rule &amp; Permission'!B22,""en"",""vi""),'Business Rule &amp; Permission'!B22))"),"Tài chính")</f>
        <v>Tài chính</v>
      </c>
      <c r="C19" s="40" t="str">
        <f>IFERROR(__xludf.DUMMYFUNCTION("IF('Business Rule &amp; Permission'!C22="""","""",IFERROR(GOOGLETRANSLATE('Business Rule &amp; Permission'!C22,""en"",""vi""),'Business Rule &amp; Permission'!C22))"),"Người quản lý gia đình và các thành viên được ủy quyền thay mặt có thể quản lý sổ quỹ gia đình chỉ nhằm mục đích lập kế hoạch và theo dõi.")</f>
        <v>Người quản lý gia đình và các thành viên được ủy quyền thay mặt có thể quản lý sổ quỹ gia đình chỉ nhằm mục đích lập kế hoạch và theo dõi.</v>
      </c>
      <c r="D19" s="40" t="str">
        <f>IFERROR(__xludf.DUMMYFUNCTION("IF('Business Rule &amp; Permission'!D22="""","""",IFERROR(GOOGLETRANSLATE('Business Rule &amp; Permission'!D22,""en"",""vi""),'Business Rule &amp; Permission'!D22))"),"Quản gia, thành viên phó được ủy quyền")</f>
        <v>Quản gia, thành viên phó được ủy quyền</v>
      </c>
      <c r="E19" s="40" t="str">
        <f>IF('Business Rule &amp; Permission'!E22="","",SWITCH('Business Rule &amp; Permission'!E22,"Yes","Có","No","Không","N/A","Không áp dụng","Can view/manage shared part if delegated","Có thể xem/quản lý phần dùng chung nếu được ủy quyền",'Business Rule &amp; Permission'!E22))</f>
        <v>Có</v>
      </c>
      <c r="F19" s="40" t="str">
        <f>IF('Business Rule &amp; Permission'!F22="","",'Business Rule &amp; Permission'!F22)</f>
        <v>UC31-UC33</v>
      </c>
      <c r="G19" s="40" t="str">
        <f>IFERROR(__xludf.DUMMYFUNCTION("IF('Business Rule &amp; Permission'!G22="""","""",IFERROR(GOOGLETRANSLATE('Business Rule &amp; Permission'!G22,""en"",""vi""),'Business Rule &amp; Permission'!G22))"),"Sổ tài chính / Quỹ gia đình")</f>
        <v>Sổ tài chính / Quỹ gia đình</v>
      </c>
      <c r="H19" s="40" t="str">
        <f>IF('Business Rule &amp; Permission'!H22="","",SWITCH('Business Rule &amp; Permission'!H22,"Must-have","Bắt buộc","Should-have","Nên có","Could-have","Có thể có",'Business Rule &amp; Permission'!H22))</f>
        <v>Bắt buộc</v>
      </c>
      <c r="I19" s="40" t="str">
        <f>IF('Business Rule &amp; Permission'!I22="","",SWITCH('Business Rule &amp; Permission'!I22,"Not Started","Chưa bắt đầu","In Progress","Đang làm","Done","Hoàn thành",'Business Rule &amp; Permission'!I22))</f>
        <v>Chưa bắt đầu</v>
      </c>
      <c r="J19" s="40" t="str">
        <f>IFERROR(__xludf.DUMMYFUNCTION("IF('Business Rule &amp; Permission'!J22="""","""",IFERROR(GOOGLETRANSLATE('Business Rule &amp; Permission'!J22,""en"",""vi""),'Business Rule &amp; Permission'!J22))"),"Phạm vi trách nhiệm của người phó phải được nêu rõ.")</f>
        <v>Phạm vi trách nhiệm của người phó phải được nêu rõ.</v>
      </c>
    </row>
    <row r="20" ht="22.5" customHeight="1">
      <c r="A20" s="40" t="str">
        <f>IF('Business Rule &amp; Permission'!A23="","",'Business Rule &amp; Permission'!A23)</f>
        <v>BR-FIN-02</v>
      </c>
      <c r="B20" s="40" t="str">
        <f>IFERROR(__xludf.DUMMYFUNCTION("IF('Business Rule &amp; Permission'!B23="""","""",IFERROR(GOOGLETRANSLATE('Business Rule &amp; Permission'!B23,""en"",""vi""),'Business Rule &amp; Permission'!B23))"),"Tài chính")</f>
        <v>Tài chính</v>
      </c>
      <c r="C20" s="40" t="str">
        <f>IFERROR(__xludf.DUMMYFUNCTION("IF('Business Rule &amp; Permission'!C23="""","""",IFERROR(GOOGLETRANSLATE('Business Rule &amp; Permission'!C23,""en"",""vi""),'Business Rule &amp; Permission'!C23))"),"Thành viên gia đình không thể trực tiếp thay đổi các bản ghi hỗ trợ sổ sách quỹ gia đình; họ phải gửi yêu cầu hỗ trợ chi tiêu.")</f>
        <v>Thành viên gia đình không thể trực tiếp thay đổi các bản ghi hỗ trợ sổ sách quỹ gia đình; họ phải gửi yêu cầu hỗ trợ chi tiêu.</v>
      </c>
      <c r="D20" s="40" t="str">
        <f>IFERROR(__xludf.DUMMYFUNCTION("IF('Business Rule &amp; Permission'!D23="""","""",IFERROR(GOOGLETRANSLATE('Business Rule &amp; Permission'!D23,""en"",""vi""),'Business Rule &amp; Permission'!D23))"),"Thành viên gia đình")</f>
        <v>Thành viên gia đình</v>
      </c>
      <c r="E20" s="40" t="str">
        <f>IF('Business Rule &amp; Permission'!E23="","",SWITCH('Business Rule &amp; Permission'!E23,"Yes","Có","No","Không","N/A","Không áp dụng","Can view/manage shared part if delegated","Có thể xem/quản lý phần dùng chung nếu được ủy quyền",'Business Rule &amp; Permission'!E23))</f>
        <v>Không</v>
      </c>
      <c r="F20" s="40" t="str">
        <f>IF('Business Rule &amp; Permission'!F23="","",'Business Rule &amp; Permission'!F23)</f>
        <v>UC34, UC35</v>
      </c>
      <c r="G20" s="40" t="str">
        <f>IFERROR(__xludf.DUMMYFUNCTION("IF('Business Rule &amp; Permission'!G23="""","""",IFERROR(GOOGLETRANSLATE('Business Rule &amp; Permission'!G23,""en"",""vi""),'Business Rule &amp; Permission'!G23))"),"Tài chính / Yêu cầu")</f>
        <v>Tài chính / Yêu cầu</v>
      </c>
      <c r="H20" s="40" t="str">
        <f>IF('Business Rule &amp; Permission'!H23="","",SWITCH('Business Rule &amp; Permission'!H23,"Must-have","Bắt buộc","Should-have","Nên có","Could-have","Có thể có",'Business Rule &amp; Permission'!H23))</f>
        <v>Bắt buộc</v>
      </c>
      <c r="I20" s="40" t="str">
        <f>IF('Business Rule &amp; Permission'!I23="","",SWITCH('Business Rule &amp; Permission'!I23,"Not Started","Chưa bắt đầu","In Progress","Đang làm","Done","Hoàn thành",'Business Rule &amp; Permission'!I23))</f>
        <v>Chưa bắt đầu</v>
      </c>
      <c r="J20" s="40" t="str">
        <f>IFERROR(__xludf.DUMMYFUNCTION("IF('Business Rule &amp; Permission'!J23="""","""",IFERROR(GOOGLETRANSLATE('Business Rule &amp; Permission'!J23,""en"",""vi""),'Business Rule &amp; Permission'!J23))"),"Chỉ áp dụng cho quy trình phê duyệt, không áp dụng cho việc rút tiền.")</f>
        <v>Chỉ áp dụng cho quy trình phê duyệt, không áp dụng cho việc rút tiền.</v>
      </c>
    </row>
    <row r="21" ht="22.5" customHeight="1">
      <c r="A21" s="40" t="str">
        <f>IF('Business Rule &amp; Permission'!A24="","",'Business Rule &amp; Permission'!A24)</f>
        <v>BR-FIN-03</v>
      </c>
      <c r="B21" s="40" t="str">
        <f>IFERROR(__xludf.DUMMYFUNCTION("IF('Business Rule &amp; Permission'!B24="""","""",IFERROR(GOOGLETRANSLATE('Business Rule &amp; Permission'!B24,""en"",""vi""),'Business Rule &amp; Permission'!B24))"),"Tài chính")</f>
        <v>Tài chính</v>
      </c>
      <c r="C21" s="40" t="str">
        <f>IFERROR(__xludf.DUMMYFUNCTION("IF('Business Rule &amp; Permission'!C24="""","""",IFERROR(GOOGLETRANSLATE('Business Rule &amp; Permission'!C24,""en"",""vi""),'Business Rule &amp; Permission'!C24))"),"Yêu cầu hỗ trợ chi tiêu đã được phê duyệt chỉ tạo ra các bản ghi sổ cái nội bộ hoặc bản ghi khoản trợ cấp liên quan.")</f>
        <v>Yêu cầu hỗ trợ chi tiêu đã được phê duyệt chỉ tạo ra các bản ghi sổ cái nội bộ hoặc bản ghi khoản trợ cấp liên quan.</v>
      </c>
      <c r="D21" s="40" t="str">
        <f>IFERROR(__xludf.DUMMYFUNCTION("IF('Business Rule &amp; Permission'!D24="""","""",IFERROR(GOOGLETRANSLATE('Business Rule &amp; Permission'!D24,""en"",""vi""),'Business Rule &amp; Permission'!D24))"),"Hệ thống")</f>
        <v>Hệ thống</v>
      </c>
      <c r="E21" s="40" t="str">
        <f>IF('Business Rule &amp; Permission'!E24="","",SWITCH('Business Rule &amp; Permission'!E24,"Yes","Có","No","Không","N/A","Không áp dụng","Can view/manage shared part if delegated","Có thể xem/quản lý phần dùng chung nếu được ủy quyền",'Business Rule &amp; Permission'!E24))</f>
        <v>Không áp dụng</v>
      </c>
      <c r="F21" s="40" t="str">
        <f>IF('Business Rule &amp; Permission'!F24="","",'Business Rule &amp; Permission'!F24)</f>
        <v>UC35</v>
      </c>
      <c r="G21" s="40" t="str">
        <f>IFERROR(__xludf.DUMMYFUNCTION("IF('Business Rule &amp; Permission'!G24="""","""",IFERROR(GOOGLETRANSLATE('Business Rule &amp; Permission'!G24,""en"",""vi""),'Business Rule &amp; Permission'!G24))"),"Sổ tài chính / Quỹ gia đình")</f>
        <v>Sổ tài chính / Quỹ gia đình</v>
      </c>
      <c r="H21" s="40" t="str">
        <f>IF('Business Rule &amp; Permission'!H24="","",SWITCH('Business Rule &amp; Permission'!H24,"Must-have","Bắt buộc","Should-have","Nên có","Could-have","Có thể có",'Business Rule &amp; Permission'!H24))</f>
        <v>Bắt buộc</v>
      </c>
      <c r="I21" s="40" t="str">
        <f>IF('Business Rule &amp; Permission'!I24="","",SWITCH('Business Rule &amp; Permission'!I24,"Not Started","Chưa bắt đầu","In Progress","Đang làm","Done","Hoàn thành",'Business Rule &amp; Permission'!I24))</f>
        <v>Chưa bắt đầu</v>
      </c>
      <c r="J21" s="40" t="str">
        <f>IFERROR(__xludf.DUMMYFUNCTION("IF('Business Rule &amp; Permission'!J24="""","""",IFERROR(GOOGLETRANSLATE('Business Rule &amp; Permission'!J24,""en"",""vi""),'Business Rule &amp; Permission'!J24))"),"Không có giao dịch chuyển khoản thực tế, không có số dư trong ví thành viên, không thể rút tiền mặt.")</f>
        <v>Không có giao dịch chuyển khoản thực tế, không có số dư trong ví thành viên, không thể rút tiền mặt.</v>
      </c>
    </row>
    <row r="22" ht="22.5" customHeight="1">
      <c r="A22" s="40" t="str">
        <f>IF('Business Rule &amp; Permission'!A25="","",'Business Rule &amp; Permission'!A25)</f>
        <v>BR-FIN-04</v>
      </c>
      <c r="B22" s="40" t="str">
        <f>IFERROR(__xludf.DUMMYFUNCTION("IF('Business Rule &amp; Permission'!B25="""","""",IFERROR(GOOGLETRANSLATE('Business Rule &amp; Permission'!B25,""en"",""vi""),'Business Rule &amp; Permission'!B25))"),"Tài chính")</f>
        <v>Tài chính</v>
      </c>
      <c r="C22" s="40" t="str">
        <f>IFERROR(__xludf.DUMMYFUNCTION("IF('Business Rule &amp; Permission'!C25="""","""",IFERROR(GOOGLETRANSLATE('Business Rule &amp; Permission'!C25,""en"",""vi""),'Business Rule &amp; Permission'!C25))"),"Tất cả các bản ghi sổ tài chính phải bao gồm loại, số tiền, người thực hiện, thời gian, ghi chú và mã số yêu cầu liên quan (nếu có).")</f>
        <v>Tất cả các bản ghi sổ tài chính phải bao gồm loại, số tiền, người thực hiện, thời gian, ghi chú và mã số yêu cầu liên quan (nếu có).</v>
      </c>
      <c r="D22" s="40" t="str">
        <f>IFERROR(__xludf.DUMMYFUNCTION("IF('Business Rule &amp; Permission'!D25="""","""",IFERROR(GOOGLETRANSLATE('Business Rule &amp; Permission'!D25,""en"",""vi""),'Business Rule &amp; Permission'!D25))"),"Hệ thống")</f>
        <v>Hệ thống</v>
      </c>
      <c r="E22" s="40" t="str">
        <f>IF('Business Rule &amp; Permission'!E25="","",SWITCH('Business Rule &amp; Permission'!E25,"Yes","Có","No","Không","N/A","Không áp dụng","Can view/manage shared part if delegated","Có thể xem/quản lý phần dùng chung nếu được ủy quyền",'Business Rule &amp; Permission'!E25))</f>
        <v>Không áp dụng</v>
      </c>
      <c r="F22" s="40" t="str">
        <f>IF('Business Rule &amp; Permission'!F25="","",'Business Rule &amp; Permission'!F25)</f>
        <v>UC31-UC36</v>
      </c>
      <c r="G22" s="40" t="str">
        <f>IFERROR(__xludf.DUMMYFUNCTION("IF('Business Rule &amp; Permission'!G25="""","""",IFERROR(GOOGLETRANSLATE('Business Rule &amp; Permission'!G25,""en"",""vi""),'Business Rule &amp; Permission'!G25))"),"Sổ tài chính / Quỹ gia đình")</f>
        <v>Sổ tài chính / Quỹ gia đình</v>
      </c>
      <c r="H22" s="40" t="str">
        <f>IF('Business Rule &amp; Permission'!H25="","",SWITCH('Business Rule &amp; Permission'!H25,"Must-have","Bắt buộc","Should-have","Nên có","Could-have","Có thể có",'Business Rule &amp; Permission'!H25))</f>
        <v>Bắt buộc</v>
      </c>
      <c r="I22" s="40" t="str">
        <f>IF('Business Rule &amp; Permission'!I25="","",SWITCH('Business Rule &amp; Permission'!I25,"Not Started","Chưa bắt đầu","In Progress","Đang làm","Done","Hoàn thành",'Business Rule &amp; Permission'!I25))</f>
        <v>Chưa bắt đầu</v>
      </c>
      <c r="J22" s="40" t="str">
        <f>IFERROR(__xludf.DUMMYFUNCTION("IF('Business Rule &amp; Permission'!J25="""","""",IFERROR(GOOGLETRANSLATE('Business Rule &amp; Permission'!J25,""en"",""vi""),'Business Rule &amp; Permission'!J25))"),"Lịch sử sổ cái không phải là lịch sử giao dịch ngân hàng/thanh toán.")</f>
        <v>Lịch sử sổ cái không phải là lịch sử giao dịch ngân hàng/thanh toán.</v>
      </c>
    </row>
    <row r="23" ht="22.5" customHeight="1">
      <c r="A23" s="40" t="str">
        <f>IF('Business Rule &amp; Permission'!A26="","",'Business Rule &amp; Permission'!A26)</f>
        <v>BR-FIN-05</v>
      </c>
      <c r="B23" s="40" t="str">
        <f>IFERROR(__xludf.DUMMYFUNCTION("IF('Business Rule &amp; Permission'!B26="""","""",IFERROR(GOOGLETRANSLATE('Business Rule &amp; Permission'!B26,""en"",""vi""),'Business Rule &amp; Permission'!B26))"),"Tài chính")</f>
        <v>Tài chính</v>
      </c>
      <c r="C23" s="40" t="str">
        <f>IFERROR(__xludf.DUMMYFUNCTION("IF('Business Rule &amp; Permission'!C26="""","""",IFERROR(GOOGLETRANSLATE('Business Rule &amp; Permission'!C26,""en"",""vi""),'Business Rule &amp; Permission'!C26))"),"Ngân sách gia đình dự kiến ​​được tính toán dựa trên thu nhập/chi tiêu cá nhân do thành viên tự khai báo cộng với thu nhập/quỹ chung của gia đình và các khoản chi tiêu chung của gia đình do người quản lý xác định.")</f>
        <v>Ngân sách gia đình dự kiến ​​được tính toán dựa trên thu nhập/chi tiêu cá nhân do thành viên tự khai báo cộng với thu nhập/quỹ chung của gia đình và các khoản chi tiêu chung của gia đình do người quản lý xác định.</v>
      </c>
      <c r="D23" s="40" t="str">
        <f>IFERROR(__xludf.DUMMYFUNCTION("IF('Business Rule &amp; Permission'!D26="""","""",IFERROR(GOOGLETRANSLATE('Business Rule &amp; Permission'!D26,""en"",""vi""),'Business Rule &amp; Permission'!D26))"),"Quản lý gia đình, Thành viên gia đình, Hệ thống")</f>
        <v>Quản lý gia đình, Thành viên gia đình, Hệ thống</v>
      </c>
      <c r="E23" s="40" t="str">
        <f>IF('Business Rule &amp; Permission'!E26="","",SWITCH('Business Rule &amp; Permission'!E26,"Yes","Có","No","Không","N/A","Không áp dụng","Can view/manage shared part if delegated","Có thể xem/quản lý phần dùng chung nếu được ủy quyền",'Business Rule &amp; Permission'!E26))</f>
        <v>Có thể xem/quản lý phần dùng chung nếu được ủy quyền</v>
      </c>
      <c r="F23" s="40" t="str">
        <f>IF('Business Rule &amp; Permission'!F26="","",'Business Rule &amp; Permission'!F26)</f>
        <v>UC22, UC24, UC25, UC26, UC29, UC30</v>
      </c>
      <c r="G23" s="40" t="str">
        <f>IFERROR(__xludf.DUMMYFUNCTION("IF('Business Rule &amp; Permission'!G26="""","""",IFERROR(GOOGLETRANSLATE('Business Rule &amp; Permission'!G26,""en"",""vi""),'Business Rule &amp; Permission'!G26))"),"Tài chính")</f>
        <v>Tài chính</v>
      </c>
      <c r="H23" s="40" t="str">
        <f>IF('Business Rule &amp; Permission'!H26="","",SWITCH('Business Rule &amp; Permission'!H26,"Must-have","Bắt buộc","Should-have","Nên có","Could-have","Có thể có",'Business Rule &amp; Permission'!H26))</f>
        <v>Bắt buộc</v>
      </c>
      <c r="I23" s="40" t="str">
        <f>IF('Business Rule &amp; Permission'!I26="","",SWITCH('Business Rule &amp; Permission'!I26,"Not Started","Chưa bắt đầu","In Progress","Đang làm","Done","Hoàn thành",'Business Rule &amp; Permission'!I26))</f>
        <v>Chưa bắt đầu</v>
      </c>
      <c r="J23" s="40" t="str">
        <f>IFERROR(__xludf.DUMMYFUNCTION("IF('Business Rule &amp; Permission'!J26="""","""",IFERROR(GOOGLETRANSLATE('Business Rule &amp; Permission'!J26,""en"",""vi""),'Business Rule &amp; Permission'!J26))"),"Công thức cần tôn trọng quyền riêng tư/sự cho phép.")</f>
        <v>Công thức cần tôn trọng quyền riêng tư/sự cho phép.</v>
      </c>
    </row>
    <row r="24" ht="22.5" customHeight="1">
      <c r="A24" s="40" t="str">
        <f>IF('Business Rule &amp; Permission'!A27="","",'Business Rule &amp; Permission'!A27)</f>
        <v>BR-FIN-06</v>
      </c>
      <c r="B24" s="40" t="str">
        <f>IFERROR(__xludf.DUMMYFUNCTION("IF('Business Rule &amp; Permission'!B27="""","""",IFERROR(GOOGLETRANSLATE('Business Rule &amp; Permission'!B27,""en"",""vi""),'Business Rule &amp; Permission'!B27))"),"Tài chính")</f>
        <v>Tài chính</v>
      </c>
      <c r="C24" s="40" t="str">
        <f>IFERROR(__xludf.DUMMYFUNCTION("IF('Business Rule &amp; Permission'!C27="""","""",IFERROR(GOOGLETRANSLATE('Business Rule &amp; Permission'!C27,""en"",""vi""),'Business Rule &amp; Permission'!C27))"),"Các thành viên trong gia đình tự chịu trách nhiệm kê khai thu nhập và chi tiêu cá nhân; Người quản lý gia đình quản lý thu nhập/quỹ và chi tiêu chung của gia đình, và chỉ được xem thông tin cá nhân theo quy định về quyền/quyền riêng tư.")</f>
        <v>Các thành viên trong gia đình tự chịu trách nhiệm kê khai thu nhập và chi tiêu cá nhân; Người quản lý gia đình quản lý thu nhập/quỹ và chi tiêu chung của gia đình, và chỉ được xem thông tin cá nhân theo quy định về quyền/quyền riêng tư.</v>
      </c>
      <c r="D24" s="40" t="str">
        <f>IFERROR(__xludf.DUMMYFUNCTION("IF('Business Rule &amp; Permission'!D27="""","""",IFERROR(GOOGLETRANSLATE('Business Rule &amp; Permission'!D27,""en"",""vi""),'Business Rule &amp; Permission'!D27))"),"Quản gia đình, Thành viên gia đình")</f>
        <v>Quản gia đình, Thành viên gia đình</v>
      </c>
      <c r="E24" s="40" t="str">
        <f>IF('Business Rule &amp; Permission'!E27="","",SWITCH('Business Rule &amp; Permission'!E27,"Yes","Có","No","Không","N/A","Không áp dụng","Can view/manage shared part if delegated","Có thể xem/quản lý phần dùng chung nếu được ủy quyền",'Business Rule &amp; Permission'!E27))</f>
        <v>Không</v>
      </c>
      <c r="F24" s="40" t="str">
        <f>IF('Business Rule &amp; Permission'!F27="","",'Business Rule &amp; Permission'!F27)</f>
        <v>UC21, UC22, UC26, UC27, UC29</v>
      </c>
      <c r="G24" s="40" t="str">
        <f>IFERROR(__xludf.DUMMYFUNCTION("IF('Business Rule &amp; Permission'!G27="""","""",IFERROR(GOOGLETRANSLATE('Business Rule &amp; Permission'!G27,""en"",""vi""),'Business Rule &amp; Permission'!G27))"),"Tài chính")</f>
        <v>Tài chính</v>
      </c>
      <c r="H24" s="40" t="str">
        <f>IF('Business Rule &amp; Permission'!H27="","",SWITCH('Business Rule &amp; Permission'!H27,"Must-have","Bắt buộc","Should-have","Nên có","Could-have","Có thể có",'Business Rule &amp; Permission'!H27))</f>
        <v>Bắt buộc</v>
      </c>
      <c r="I24" s="40" t="str">
        <f>IF('Business Rule &amp; Permission'!I27="","",SWITCH('Business Rule &amp; Permission'!I27,"Not Started","Chưa bắt đầu","In Progress","Đang làm","Done","Hoàn thành",'Business Rule &amp; Permission'!I27))</f>
        <v>Chưa bắt đầu</v>
      </c>
      <c r="J24" s="40" t="str">
        <f>IFERROR(__xludf.DUMMYFUNCTION("IF('Business Rule &amp; Permission'!J27="""","""",IFERROR(GOOGLETRANSLATE('Business Rule &amp; Permission'!J27,""en"",""vi""),'Business Rule &amp; Permission'!J27))"),"Theo mặc định, tính năng này ngăn người quản lý chỉnh sửa thông tin tài chính cá nhân của từng thành viên.")</f>
        <v>Theo mặc định, tính năng này ngăn người quản lý chỉnh sửa thông tin tài chính cá nhân của từng thành viên.</v>
      </c>
    </row>
    <row r="25" ht="22.5" customHeight="1">
      <c r="A25" s="40" t="str">
        <f>IF('Business Rule &amp; Permission'!A28="","",'Business Rule &amp; Permission'!A28)</f>
        <v>BR-FIN-07</v>
      </c>
      <c r="B25" s="40" t="str">
        <f>IFERROR(__xludf.DUMMYFUNCTION("IF('Business Rule &amp; Permission'!B28="""","""",IFERROR(GOOGLETRANSLATE('Business Rule &amp; Permission'!B28,""en"",""vi""),'Business Rule &amp; Permission'!B28))"),"Tài chính")</f>
        <v>Tài chính</v>
      </c>
      <c r="C25" s="40" t="str">
        <f>IFERROR(__xludf.DUMMYFUNCTION("IF('Business Rule &amp; Permission'!C28="""","""",IFERROR(GOOGLETRANSLATE('Business Rule &amp; Permission'!C28,""en"",""vi""),'Business Rule &amp; Permission'!C28))"),"Sổ quỹ gia đình chỉ là một bản ghi nội bộ; hệ thống không nắm giữ, rút ​​hoặc chuyển tiền thật của người dùng.")</f>
        <v>Sổ quỹ gia đình chỉ là một bản ghi nội bộ; hệ thống không nắm giữ, rút ​​hoặc chuyển tiền thật của người dùng.</v>
      </c>
      <c r="D25" s="40" t="str">
        <f>IFERROR(__xludf.DUMMYFUNCTION("IF('Business Rule &amp; Permission'!D28="""","""",IFERROR(GOOGLETRANSLATE('Business Rule &amp; Permission'!D28,""en"",""vi""),'Business Rule &amp; Permission'!D28))"),"Quản lý gia đình, Thành viên gia đình, Hệ thống")</f>
        <v>Quản lý gia đình, Thành viên gia đình, Hệ thống</v>
      </c>
      <c r="E25" s="40" t="str">
        <f>IF('Business Rule &amp; Permission'!E28="","",SWITCH('Business Rule &amp; Permission'!E28,"Yes","Có","No","Không","N/A","Không áp dụng","Can view/manage shared part if delegated","Có thể xem/quản lý phần dùng chung nếu được ủy quyền",'Business Rule &amp; Permission'!E28))</f>
        <v>Không</v>
      </c>
      <c r="F25" s="40" t="str">
        <f>IF('Business Rule &amp; Permission'!F28="","",'Business Rule &amp; Permission'!F28)</f>
        <v>UC28, UC31-UC36</v>
      </c>
      <c r="G25" s="40" t="str">
        <f>IFERROR(__xludf.DUMMYFUNCTION("IF('Business Rule &amp; Permission'!G28="""","""",IFERROR(GOOGLETRANSLATE('Business Rule &amp; Permission'!G28,""en"",""vi""),'Business Rule &amp; Permission'!G28))"),"Tài chính / Quỹ gia đình")</f>
        <v>Tài chính / Quỹ gia đình</v>
      </c>
      <c r="H25" s="40" t="str">
        <f>IF('Business Rule &amp; Permission'!H28="","",SWITCH('Business Rule &amp; Permission'!H28,"Must-have","Bắt buộc","Should-have","Nên có","Could-have","Có thể có",'Business Rule &amp; Permission'!H28))</f>
        <v>Bắt buộc</v>
      </c>
      <c r="I25" s="40" t="str">
        <f>IF('Business Rule &amp; Permission'!I28="","",SWITCH('Business Rule &amp; Permission'!I28,"Not Started","Chưa bắt đầu","In Progress","Đang làm","Done","Hoàn thành",'Business Rule &amp; Permission'!I28))</f>
        <v>Chưa bắt đầu</v>
      </c>
      <c r="J25" s="40" t="str">
        <f>IFERROR(__xludf.DUMMYFUNCTION("IF('Business Rule &amp; Permission'!J28="""","""",IFERROR(GOOGLETRANSLATE('Business Rule &amp; Permission'!J28,""en"",""vi""),'Business Rule &amp; Permission'!J28))"),"Làm rõ rủi ro pháp lý quan trọng sau Đánh giá 1.")</f>
        <v>Làm rõ rủi ro pháp lý quan trọng sau Đánh giá 1.</v>
      </c>
    </row>
    <row r="26" ht="22.5" customHeight="1">
      <c r="A26" s="40" t="str">
        <f>IF('Business Rule &amp; Permission'!A29="","",'Business Rule &amp; Permission'!A29)</f>
        <v>BR-FIN-08</v>
      </c>
      <c r="B26" s="40" t="str">
        <f>IFERROR(__xludf.DUMMYFUNCTION("IF('Business Rule &amp; Permission'!B29="""","""",IFERROR(GOOGLETRANSLATE('Business Rule &amp; Permission'!B29,""en"",""vi""),'Business Rule &amp; Permission'!B29))"),"Tài chính / Đăng ký")</f>
        <v>Tài chính / Đăng ký</v>
      </c>
      <c r="C26" s="40" t="str">
        <f>IFERROR(__xludf.DUMMYFUNCTION("IF('Business Rule &amp; Permission'!C29="""","""",IFERROR(GOOGLETRANSLATE('Business Rule &amp; Permission'!C29,""en"",""vi""),'Business Rule &amp; Permission'!C29))"),"Cổng thanh toán chỉ được sử dụng cho việc đăng ký, không dùng cho quỹ gia đình, tiền tiêu vặt hoặc hồ sơ phần thưởng.")</f>
        <v>Cổng thanh toán chỉ được sử dụng cho việc đăng ký, không dùng cho quỹ gia đình, tiền tiêu vặt hoặc hồ sơ phần thưởng.</v>
      </c>
      <c r="D26" s="40" t="str">
        <f>IFERROR(__xludf.DUMMYFUNCTION("IF('Business Rule &amp; Permission'!D29="""","""",IFERROR(GOOGLETRANSLATE('Business Rule &amp; Permission'!D29,""en"",""vi""),'Business Rule &amp; Permission'!D29))"),"Hệ thống, Quản lý Gia đình")</f>
        <v>Hệ thống, Quản lý Gia đình</v>
      </c>
      <c r="E26" s="40" t="str">
        <f>IF('Business Rule &amp; Permission'!E29="","",SWITCH('Business Rule &amp; Permission'!E29,"Yes","Có","No","Không","N/A","Không áp dụng","Can view/manage shared part if delegated","Có thể xem/quản lý phần dùng chung nếu được ủy quyền",'Business Rule &amp; Permission'!E29))</f>
        <v>Không</v>
      </c>
      <c r="F26" s="40" t="str">
        <f>IF('Business Rule &amp; Permission'!F29="","",'Business Rule &amp; Permission'!F29)</f>
        <v>UC01, UC31-UC36, UC77</v>
      </c>
      <c r="G26" s="40" t="str">
        <f>IFERROR(__xludf.DUMMYFUNCTION("IF('Business Rule &amp; Permission'!G29="""","""",IFERROR(GOOGLETRANSLATE('Business Rule &amp; Permission'!G29,""en"",""vi""),'Business Rule &amp; Permission'!G29))"),"Đăng ký/Tài chính")</f>
        <v>Đăng ký/Tài chính</v>
      </c>
      <c r="H26" s="40" t="str">
        <f>IF('Business Rule &amp; Permission'!H29="","",SWITCH('Business Rule &amp; Permission'!H29,"Must-have","Bắt buộc","Should-have","Nên có","Could-have","Có thể có",'Business Rule &amp; Permission'!H29))</f>
        <v>Bắt buộc</v>
      </c>
      <c r="I26" s="40" t="str">
        <f>IF('Business Rule &amp; Permission'!I29="","",SWITCH('Business Rule &amp; Permission'!I29,"Not Started","Chưa bắt đầu","In Progress","Đang làm","Done","Hoàn thành",'Business Rule &amp; Permission'!I29))</f>
        <v>Chưa bắt đầu</v>
      </c>
      <c r="J26" s="40" t="str">
        <f>IFERROR(__xludf.DUMMYFUNCTION("IF('Business Rule &amp; Permission'!J29="""","""",IFERROR(GOOGLETRANSLATE('Business Rule &amp; Permission'!J29,""en"",""vi""),'Business Rule &amp; Permission'!J29))"),"Phân tách khoản thanh toán thực tế khỏi hồ sơ tài chính nội bộ gia đình.")</f>
        <v>Phân tách khoản thanh toán thực tế khỏi hồ sơ tài chính nội bộ gia đình.</v>
      </c>
    </row>
    <row r="27" ht="22.5" customHeight="1">
      <c r="A27" s="40" t="str">
        <f>IF('Business Rule &amp; Permission'!A30="","",'Business Rule &amp; Permission'!A30)</f>
        <v>BR-TASK-01</v>
      </c>
      <c r="B27" s="40" t="str">
        <f>IFERROR(__xludf.DUMMYFUNCTION("IF('Business Rule &amp; Permission'!B30="""","""",IFERROR(GOOGLETRANSLATE('Business Rule &amp; Permission'!B30,""en"",""vi""),'Business Rule &amp; Permission'!B30))"),"Nhiệm vụ")</f>
        <v>Nhiệm vụ</v>
      </c>
      <c r="C27" s="40" t="str">
        <f>IFERROR(__xludf.DUMMYFUNCTION("IF('Business Rule &amp; Permission'!C30="""","""",IFERROR(GOOGLETRANSLATE('Business Rule &amp; Permission'!C30,""en"",""vi""),'Business Rule &amp; Permission'!C30))"),"Nhiệm vụ có thể là nhiệm vụ phát sinh đột xuất hoặc nhiệm vụ bắt buộc định kỳ.")</f>
        <v>Nhiệm vụ có thể là nhiệm vụ phát sinh đột xuất hoặc nhiệm vụ bắt buộc định kỳ.</v>
      </c>
      <c r="D27" s="40" t="str">
        <f>IFERROR(__xludf.DUMMYFUNCTION("IF('Business Rule &amp; Permission'!D30="""","""",IFERROR(GOOGLETRANSLATE('Business Rule &amp; Permission'!D30,""en"",""vi""),'Business Rule &amp; Permission'!D30))"),"Quản lý gia đình")</f>
        <v>Quản lý gia đình</v>
      </c>
      <c r="E27" s="40" t="str">
        <f>IF('Business Rule &amp; Permission'!E30="","",SWITCH('Business Rule &amp; Permission'!E30,"Yes","Có","No","Không","N/A","Không áp dụng","Can view/manage shared part if delegated","Có thể xem/quản lý phần dùng chung nếu được ủy quyền",'Business Rule &amp; Permission'!E30))</f>
        <v>Có</v>
      </c>
      <c r="F27" s="40" t="str">
        <f>IF('Business Rule &amp; Permission'!F30="","",'Business Rule &amp; Permission'!F30)</f>
        <v>UC37, UC38, UC39</v>
      </c>
      <c r="G27" s="40" t="str">
        <f>IFERROR(__xludf.DUMMYFUNCTION("IF('Business Rule &amp; Permission'!G30="""","""",IFERROR(GOOGLETRANSLATE('Business Rule &amp; Permission'!G30,""en"",""vi""),'Business Rule &amp; Permission'!G30))"),"Nhiệm vụ")</f>
        <v>Nhiệm vụ</v>
      </c>
      <c r="H27" s="40" t="str">
        <f>IF('Business Rule &amp; Permission'!H30="","",SWITCH('Business Rule &amp; Permission'!H30,"Must-have","Bắt buộc","Should-have","Nên có","Could-have","Có thể có",'Business Rule &amp; Permission'!H30))</f>
        <v>Bắt buộc</v>
      </c>
      <c r="I27" s="40" t="str">
        <f>IF('Business Rule &amp; Permission'!I30="","",SWITCH('Business Rule &amp; Permission'!I30,"Not Started","Chưa bắt đầu","In Progress","Đang làm","Done","Hoàn thành",'Business Rule &amp; Permission'!I30))</f>
        <v>Chưa bắt đầu</v>
      </c>
      <c r="J27" s="40" t="str">
        <f>IFERROR(__xludf.DUMMYFUNCTION("IF('Business Rule &amp; Permission'!J30="""","""",IFERROR(GOOGLETRANSLATE('Business Rule &amp; Permission'!J30,""en"",""vi""),'Business Rule &amp; Permission'!J30))"),"Giữ nguyên hai loại nhiệm vụ.")</f>
        <v>Giữ nguyên hai loại nhiệm vụ.</v>
      </c>
    </row>
    <row r="28" ht="22.5" customHeight="1">
      <c r="A28" s="40" t="str">
        <f>IF('Business Rule &amp; Permission'!A31="","",'Business Rule &amp; Permission'!A31)</f>
        <v>BR-TASK-02</v>
      </c>
      <c r="B28" s="40" t="str">
        <f>IFERROR(__xludf.DUMMYFUNCTION("IF('Business Rule &amp; Permission'!B31="""","""",IFERROR(GOOGLETRANSLATE('Business Rule &amp; Permission'!B31,""en"",""vi""),'Business Rule &amp; Permission'!B31))"),"Nhiệm vụ")</f>
        <v>Nhiệm vụ</v>
      </c>
      <c r="C28" s="40" t="str">
        <f>IFERROR(__xludf.DUMMYFUNCTION("IF('Business Rule &amp; Permission'!C31="""","""",IFERROR(GOOGLETRANSLATE('Business Rule &amp; Permission'!C31,""en"",""vi""),'Business Rule &amp; Permission'!C31))"),"Những nhiệm vụ bắt buộc định kỳ không thể bị bỏ qua; chúng phải được giao, tiếp nhận hoặc xử lý một cách hợp lý.")</f>
        <v>Những nhiệm vụ bắt buộc định kỳ không thể bị bỏ qua; chúng phải được giao, tiếp nhận hoặc xử lý một cách hợp lý.</v>
      </c>
      <c r="D28" s="40" t="str">
        <f>IFERROR(__xludf.DUMMYFUNCTION("IF('Business Rule &amp; Permission'!D31="""","""",IFERROR(GOOGLETRANSLATE('Business Rule &amp; Permission'!D31,""en"",""vi""),'Business Rule &amp; Permission'!D31))"),"Thành viên gia đình, người quản lý gia đình")</f>
        <v>Thành viên gia đình, người quản lý gia đình</v>
      </c>
      <c r="E28" s="40" t="str">
        <f>IF('Business Rule &amp; Permission'!E31="","",SWITCH('Business Rule &amp; Permission'!E31,"Yes","Có","No","Không","N/A","Không áp dụng","Can view/manage shared part if delegated","Có thể xem/quản lý phần dùng chung nếu được ủy quyền",'Business Rule &amp; Permission'!E31))</f>
        <v>Có</v>
      </c>
      <c r="F28" s="40" t="str">
        <f>IF('Business Rule &amp; Permission'!F31="","",'Business Rule &amp; Permission'!F31)</f>
        <v>UC39-UC42</v>
      </c>
      <c r="G28" s="40" t="str">
        <f>IFERROR(__xludf.DUMMYFUNCTION("IF('Business Rule &amp; Permission'!G31="""","""",IFERROR(GOOGLETRANSLATE('Business Rule &amp; Permission'!G31,""en"",""vi""),'Business Rule &amp; Permission'!G31))"),"Nhiệm vụ")</f>
        <v>Nhiệm vụ</v>
      </c>
      <c r="H28" s="40" t="str">
        <f>IF('Business Rule &amp; Permission'!H31="","",SWITCH('Business Rule &amp; Permission'!H31,"Must-have","Bắt buộc","Should-have","Nên có","Could-have","Có thể có",'Business Rule &amp; Permission'!H31))</f>
        <v>Bắt buộc</v>
      </c>
      <c r="I28" s="40" t="str">
        <f>IF('Business Rule &amp; Permission'!I31="","",SWITCH('Business Rule &amp; Permission'!I31,"Not Started","Chưa bắt đầu","In Progress","Đang làm","Done","Hoàn thành",'Business Rule &amp; Permission'!I31))</f>
        <v>Chưa bắt đầu</v>
      </c>
      <c r="J28" s="40" t="str">
        <f>IFERROR(__xludf.DUMMYFUNCTION("IF('Business Rule &amp; Permission'!J31="""","""",IFERROR(GOOGLETRANSLATE('Business Rule &amp; Permission'!J31,""en"",""vi""),'Business Rule &amp; Permission'!J31))"),"Nguyên tắc cốt lõi.")</f>
        <v>Nguyên tắc cốt lõi.</v>
      </c>
    </row>
    <row r="29" ht="22.5" customHeight="1">
      <c r="A29" s="40" t="str">
        <f>IF('Business Rule &amp; Permission'!A32="","",'Business Rule &amp; Permission'!A32)</f>
        <v>BR-TASK-03</v>
      </c>
      <c r="B29" s="40" t="str">
        <f>IFERROR(__xludf.DUMMYFUNCTION("IF('Business Rule &amp; Permission'!B32="""","""",IFERROR(GOOGLETRANSLATE('Business Rule &amp; Permission'!B32,""en"",""vi""),'Business Rule &amp; Permission'!B32))"),"Nhiệm vụ")</f>
        <v>Nhiệm vụ</v>
      </c>
      <c r="C29" s="40" t="str">
        <f>IFERROR(__xludf.DUMMYFUNCTION("IF('Business Rule &amp; Permission'!C32="""","""",IFERROR(GOOGLETRANSLATE('Business Rule &amp; Permission'!C32,""en"",""vi""),'Business Rule &amp; Permission'!C32))"),"Thành viên gia đình chỉ có thể nộp báo cáo hoàn thành đối với các nhiệm vụ được giao.")</f>
        <v>Thành viên gia đình chỉ có thể nộp báo cáo hoàn thành đối với các nhiệm vụ được giao.</v>
      </c>
      <c r="D29" s="40" t="str">
        <f>IFERROR(__xludf.DUMMYFUNCTION("IF('Business Rule &amp; Permission'!D32="""","""",IFERROR(GOOGLETRANSLATE('Business Rule &amp; Permission'!D32,""en"",""vi""),'Business Rule &amp; Permission'!D32))"),"Thành viên gia đình")</f>
        <v>Thành viên gia đình</v>
      </c>
      <c r="E29" s="40" t="str">
        <f>IF('Business Rule &amp; Permission'!E32="","",SWITCH('Business Rule &amp; Permission'!E32,"Yes","Có","No","Không","N/A","Không áp dụng","Can view/manage shared part if delegated","Có thể xem/quản lý phần dùng chung nếu được ủy quyền",'Business Rule &amp; Permission'!E32))</f>
        <v>Không</v>
      </c>
      <c r="F29" s="40" t="str">
        <f>IF('Business Rule &amp; Permission'!F32="","",'Business Rule &amp; Permission'!F32)</f>
        <v>UC43, UC44</v>
      </c>
      <c r="G29" s="40" t="str">
        <f>IFERROR(__xludf.DUMMYFUNCTION("IF('Business Rule &amp; Permission'!G32="""","""",IFERROR(GOOGLETRANSLATE('Business Rule &amp; Permission'!G32,""en"",""vi""),'Business Rule &amp; Permission'!G32))"),"Nhiệm vụ")</f>
        <v>Nhiệm vụ</v>
      </c>
      <c r="H29" s="40" t="str">
        <f>IF('Business Rule &amp; Permission'!H32="","",SWITCH('Business Rule &amp; Permission'!H32,"Must-have","Bắt buộc","Should-have","Nên có","Could-have","Có thể có",'Business Rule &amp; Permission'!H32))</f>
        <v>Bắt buộc</v>
      </c>
      <c r="I29" s="40" t="str">
        <f>IF('Business Rule &amp; Permission'!I32="","",SWITCH('Business Rule &amp; Permission'!I32,"Not Started","Chưa bắt đầu","In Progress","Đang làm","Done","Hoàn thành",'Business Rule &amp; Permission'!I32))</f>
        <v>Chưa bắt đầu</v>
      </c>
      <c r="J29" s="40" t="str">
        <f>IFERROR(__xludf.DUMMYFUNCTION("IF('Business Rule &amp; Permission'!J32="""","""",IFERROR(GOOGLETRANSLATE('Business Rule &amp; Permission'!J32,""en"",""vi""),'Business Rule &amp; Permission'!J32))"),"Kiểm tra quyền truy cập máy chủ.")</f>
        <v>Kiểm tra quyền truy cập máy chủ.</v>
      </c>
    </row>
    <row r="30" ht="22.5" customHeight="1">
      <c r="A30" s="40" t="str">
        <f>IF('Business Rule &amp; Permission'!A33="","",'Business Rule &amp; Permission'!A33)</f>
        <v>BR-TASK-04</v>
      </c>
      <c r="B30" s="40" t="str">
        <f>IFERROR(__xludf.DUMMYFUNCTION("IF('Business Rule &amp; Permission'!B33="""","""",IFERROR(GOOGLETRANSLATE('Business Rule &amp; Permission'!B33,""en"",""vi""),'Business Rule &amp; Permission'!B33))"),"Nhiệm vụ / Phần thưởng")</f>
        <v>Nhiệm vụ / Phần thưởng</v>
      </c>
      <c r="C30" s="40" t="str">
        <f>IFERROR(__xludf.DUMMYFUNCTION("IF('Business Rule &amp; Permission'!C33="""","""",IFERROR(GOOGLETRANSLATE('Business Rule &amp; Permission'!C33,""en"",""vi""),'Business Rule &amp; Permission'!C33))"),"Hồ sơ thanh toán tiền thưởng chỉ được tạo sau khi việc hoàn thành nhiệm vụ được phê duyệt.")</f>
        <v>Hồ sơ thanh toán tiền thưởng chỉ được tạo sau khi việc hoàn thành nhiệm vụ được phê duyệt.</v>
      </c>
      <c r="D30" s="40" t="str">
        <f>IFERROR(__xludf.DUMMYFUNCTION("IF('Business Rule &amp; Permission'!D33="""","""",IFERROR(GOOGLETRANSLATE('Business Rule &amp; Permission'!D33,""en"",""vi""),'Business Rule &amp; Permission'!D33))"),"Hệ thống")</f>
        <v>Hệ thống</v>
      </c>
      <c r="E30" s="40" t="str">
        <f>IF('Business Rule &amp; Permission'!E33="","",SWITCH('Business Rule &amp; Permission'!E33,"Yes","Có","No","Không","N/A","Không áp dụng","Can view/manage shared part if delegated","Có thể xem/quản lý phần dùng chung nếu được ủy quyền",'Business Rule &amp; Permission'!E33))</f>
        <v>Không</v>
      </c>
      <c r="F30" s="40" t="str">
        <f>IF('Business Rule &amp; Permission'!F33="","",'Business Rule &amp; Permission'!F33)</f>
        <v>UC44, UC45, UC49</v>
      </c>
      <c r="G30" s="40" t="str">
        <f>IFERROR(__xludf.DUMMYFUNCTION("IF('Business Rule &amp; Permission'!G33="""","""",IFERROR(GOOGLETRANSLATE('Business Rule &amp; Permission'!G33,""en"",""vi""),'Business Rule &amp; Permission'!G33))"),"Nhiệm vụ / Phần thưởng")</f>
        <v>Nhiệm vụ / Phần thưởng</v>
      </c>
      <c r="H30" s="40" t="str">
        <f>IF('Business Rule &amp; Permission'!H33="","",SWITCH('Business Rule &amp; Permission'!H33,"Must-have","Bắt buộc","Should-have","Nên có","Could-have","Có thể có",'Business Rule &amp; Permission'!H33))</f>
        <v>Bắt buộc</v>
      </c>
      <c r="I30" s="40" t="str">
        <f>IF('Business Rule &amp; Permission'!I33="","",SWITCH('Business Rule &amp; Permission'!I33,"Not Started","Chưa bắt đầu","In Progress","Đang làm","Done","Hoàn thành",'Business Rule &amp; Permission'!I33))</f>
        <v>Chưa bắt đầu</v>
      </c>
      <c r="J30" s="40" t="str">
        <f>IFERROR(__xludf.DUMMYFUNCTION("IF('Business Rule &amp; Permission'!J33="""","""",IFERROR(GOOGLETRANSLATE('Business Rule &amp; Permission'!J33,""en"",""vi""),'Business Rule &amp; Permission'!J33))"),"Việc phê duyệt nhiệm vụ tạo ra nghĩa vụ nhận phần thưởng, chứ không phải là bằng chứng cho thấy tiền/phần thưởng thực sự đã được nhận.")</f>
        <v>Việc phê duyệt nhiệm vụ tạo ra nghĩa vụ nhận phần thưởng, chứ không phải là bằng chứng cho thấy tiền/phần thưởng thực sự đã được nhận.</v>
      </c>
    </row>
    <row r="31" ht="22.5" customHeight="1">
      <c r="A31" s="40" t="str">
        <f>IF('Business Rule &amp; Permission'!A34="","",'Business Rule &amp; Permission'!A34)</f>
        <v>BR-REW-01</v>
      </c>
      <c r="B31" s="40" t="str">
        <f>IFERROR(__xludf.DUMMYFUNCTION("IF('Business Rule &amp; Permission'!B34="""","""",IFERROR(GOOGLETRANSLATE('Business Rule &amp; Permission'!B34,""en"",""vi""),'Business Rule &amp; Permission'!B34))"),"Giải quyết tiền thưởng")</f>
        <v>Giải quyết tiền thưởng</v>
      </c>
      <c r="C31" s="40" t="str">
        <f>IFERROR(__xludf.DUMMYFUNCTION("IF('Business Rule &amp; Permission'!C34="""","""",IFERROR(GOOGLETRANSLATE('Business Rule &amp; Permission'!C34,""en"",""vi""),'Business Rule &amp; Permission'!C34))"),"Việc nhiệm vụ được chấp thuận không có nghĩa là phần thưởng đã được nhận; phần thưởng được chấp thuận bắt đầu với trạng thái ""Đang chờ thanh toán"".")</f>
        <v>Việc nhiệm vụ được chấp thuận không có nghĩa là phần thưởng đã được nhận; phần thưởng được chấp thuận bắt đầu với trạng thái "Đang chờ thanh toán".</v>
      </c>
      <c r="D31" s="40" t="str">
        <f>IFERROR(__xludf.DUMMYFUNCTION("IF('Business Rule &amp; Permission'!D34="""","""",IFERROR(GOOGLETRANSLATE('Business Rule &amp; Permission'!D34,""en"",""vi""),'Business Rule &amp; Permission'!D34))"),"Hệ thống, Thành viên gia đình, Người quản lý gia đình")</f>
        <v>Hệ thống, Thành viên gia đình, Người quản lý gia đình</v>
      </c>
      <c r="E31" s="40" t="str">
        <f>IF('Business Rule &amp; Permission'!E34="","",SWITCH('Business Rule &amp; Permission'!E34,"Yes","Có","No","Không","N/A","Không áp dụng","Can view/manage shared part if delegated","Có thể xem/quản lý phần dùng chung nếu được ủy quyền",'Business Rule &amp; Permission'!E34))</f>
        <v>Không</v>
      </c>
      <c r="F31" s="40" t="str">
        <f>IF('Business Rule &amp; Permission'!F34="","",'Business Rule &amp; Permission'!F34)</f>
        <v>UC44, UC45, UC49</v>
      </c>
      <c r="G31" s="40" t="str">
        <f>IFERROR(__xludf.DUMMYFUNCTION("IF('Business Rule &amp; Permission'!G34="""","""",IFERROR(GOOGLETRANSLATE('Business Rule &amp; Permission'!G34,""en"",""vi""),'Business Rule &amp; Permission'!G34))"),"Nhiệm vụ / Phần thưởng")</f>
        <v>Nhiệm vụ / Phần thưởng</v>
      </c>
      <c r="H31" s="40" t="str">
        <f>IF('Business Rule &amp; Permission'!H34="","",SWITCH('Business Rule &amp; Permission'!H34,"Must-have","Bắt buộc","Should-have","Nên có","Could-have","Có thể có",'Business Rule &amp; Permission'!H34))</f>
        <v>Bắt buộc</v>
      </c>
      <c r="I31" s="40" t="str">
        <f>IF('Business Rule &amp; Permission'!I34="","",SWITCH('Business Rule &amp; Permission'!I34,"Not Started","Chưa bắt đầu","In Progress","Đang làm","Done","Hoàn thành",'Business Rule &amp; Permission'!I34))</f>
        <v>Chưa bắt đầu</v>
      </c>
      <c r="J31" s="40" t="str">
        <f>IFERROR(__xludf.DUMMYFUNCTION("IF('Business Rule &amp; Permission'!J34="""","""",IFERROR(GOOGLETRANSLATE('Business Rule &amp; Permission'!J34,""en"",""vi""),'Business Rule &amp; Permission'!J34))"),"Giải quyết vấn đề: Nhiệm vụ đã được phê duyệt nhưng thành viên được giao chưa nhận được phần thưởng.")</f>
        <v>Giải quyết vấn đề: Nhiệm vụ đã được phê duyệt nhưng thành viên được giao chưa nhận được phần thưởng.</v>
      </c>
    </row>
    <row r="32">
      <c r="A32" s="42" t="str">
        <f>IF('Business Rule &amp; Permission'!A35="","",'Business Rule &amp; Permission'!A35)</f>
        <v>BR-REW-02</v>
      </c>
      <c r="B32" s="42" t="str">
        <f>IFERROR(__xludf.DUMMYFUNCTION("IF('Business Rule &amp; Permission'!B35="""","""",IFERROR(GOOGLETRANSLATE('Business Rule &amp; Permission'!B35,""en"",""vi""),'Business Rule &amp; Permission'!B35))"),"Giải quyết tiền thưởng")</f>
        <v>Giải quyết tiền thưởng</v>
      </c>
      <c r="C32" s="42" t="str">
        <f>IFERROR(__xludf.DUMMYFUNCTION("IF('Business Rule &amp; Permission'!C35="""","""",IFERROR(GOOGLETRANSLATE('Business Rule &amp; Permission'!C35,""en"",""vi""),'Business Rule &amp; Permission'!C35))"),"Việc thanh toán tiền thưởng là một hành động bên ngoài/ngoại tuyến; hệ thống chỉ ghi lại trạng thái thanh toán, phương thức, số tiền, ghi chú và bằng chứng (nếu có).")</f>
        <v>Việc thanh toán tiền thưởng là một hành động bên ngoài/ngoại tuyến; hệ thống chỉ ghi lại trạng thái thanh toán, phương thức, số tiền, ghi chú và bằng chứng (nếu có).</v>
      </c>
      <c r="D32" s="42" t="str">
        <f>IFERROR(__xludf.DUMMYFUNCTION("IF('Business Rule &amp; Permission'!D35="""","""",IFERROR(GOOGLETRANSLATE('Business Rule &amp; Permission'!D35,""en"",""vi""),'Business Rule &amp; Permission'!D35))"),"Quản lý gia đình, Phó quản lý, Hệ thống")</f>
        <v>Quản lý gia đình, Phó quản lý, Hệ thống</v>
      </c>
      <c r="E32" s="42" t="str">
        <f>IF('Business Rule &amp; Permission'!E35="","",SWITCH('Business Rule &amp; Permission'!E35,"Yes","Có","No","Không","N/A","Không áp dụng","Can view/manage shared part if delegated","Có thể xem/quản lý phần dùng chung nếu được ủy quyền",'Business Rule &amp; Permission'!E35))</f>
        <v>Có</v>
      </c>
      <c r="F32" s="42" t="str">
        <f>IF('Business Rule &amp; Permission'!F35="","",'Business Rule &amp; Permission'!F35)</f>
        <v>UC45, UC46, UC60</v>
      </c>
      <c r="G32" s="42" t="str">
        <f>IFERROR(__xludf.DUMMYFUNCTION("IF('Business Rule &amp; Permission'!G35="""","""",IFERROR(GOOGLETRANSLATE('Business Rule &amp; Permission'!G35,""en"",""vi""),'Business Rule &amp; Permission'!G35))"),"Phần thưởng / Thông báo")</f>
        <v>Phần thưởng / Thông báo</v>
      </c>
      <c r="H32" s="42" t="str">
        <f>IF('Business Rule &amp; Permission'!H35="","",SWITCH('Business Rule &amp; Permission'!H35,"Must-have","Bắt buộc","Should-have","Nên có","Could-have","Có thể có",'Business Rule &amp; Permission'!H35))</f>
        <v>Bắt buộc</v>
      </c>
      <c r="I32" s="42" t="str">
        <f>IF('Business Rule &amp; Permission'!I35="","",SWITCH('Business Rule &amp; Permission'!I35,"Not Started","Chưa bắt đầu","In Progress","Đang làm","Done","Hoàn thành",'Business Rule &amp; Permission'!I35))</f>
        <v>Chưa bắt đầu</v>
      </c>
      <c r="J32" s="42" t="str">
        <f>IFERROR(__xludf.DUMMYFUNCTION("IF('Business Rule &amp; Permission'!J35="""","""",IFERROR(GOOGLETRANSLATE('Business Rule &amp; Permission'!J35,""en"",""vi""),'Business Rule &amp; Permission'!J35))"),"Các phương thức thanh toán bên ngoài có thể là tiền mặt, chuyển khoản ngân hàng, ứng dụng thanh toán của bên thứ ba hoặc các phương thức khác do gia đình quản lý.")</f>
        <v>Các phương thức thanh toán bên ngoài có thể là tiền mặt, chuyển khoản ngân hàng, ứng dụng thanh toán của bên thứ ba hoặc các phương thức khác do gia đình quản lý.</v>
      </c>
    </row>
    <row r="33">
      <c r="A33" s="42" t="str">
        <f>IF('Business Rule &amp; Permission'!A36="","",'Business Rule &amp; Permission'!A36)</f>
        <v>BR-REW-03</v>
      </c>
      <c r="B33" s="42" t="str">
        <f>IFERROR(__xludf.DUMMYFUNCTION("IF('Business Rule &amp; Permission'!B36="""","""",IFERROR(GOOGLETRANSLATE('Business Rule &amp; Permission'!B36,""en"",""vi""),'Business Rule &amp; Permission'!B36))"),"Giải quyết tiền thưởng")</f>
        <v>Giải quyết tiền thưởng</v>
      </c>
      <c r="C33" s="42" t="str">
        <f>IFERROR(__xludf.DUMMYFUNCTION("IF('Business Rule &amp; Permission'!C36="""","""",IFERROR(GOOGLETRANSLATE('Business Rule &amp; Permission'!C36,""en"",""vi""),'Business Rule &amp; Permission'!C36))"),"Quản lý gia đình hoặc người được ủy quyền có thể đánh dấu phần thưởng là đã được thanh toán bên ngoài sau khi đã thanh toán/thưởng bên ngoài hệ thống.")</f>
        <v>Quản lý gia đình hoặc người được ủy quyền có thể đánh dấu phần thưởng là đã được thanh toán bên ngoài sau khi đã thanh toán/thưởng bên ngoài hệ thống.</v>
      </c>
      <c r="D33" s="42" t="str">
        <f>IFERROR(__xludf.DUMMYFUNCTION("IF('Business Rule &amp; Permission'!D36="""","""",IFERROR(GOOGLETRANSLATE('Business Rule &amp; Permission'!D36,""en"",""vi""),'Business Rule &amp; Permission'!D36))"),"Quản gia, thành viên phó được ủy quyền")</f>
        <v>Quản gia, thành viên phó được ủy quyền</v>
      </c>
      <c r="E33" s="42" t="str">
        <f>IF('Business Rule &amp; Permission'!E36="","",SWITCH('Business Rule &amp; Permission'!E36,"Yes","Có","No","Không","N/A","Không áp dụng","Can view/manage shared part if delegated","Có thể xem/quản lý phần dùng chung nếu được ủy quyền",'Business Rule &amp; Permission'!E36))</f>
        <v>Có</v>
      </c>
      <c r="F33" s="42" t="str">
        <f>IF('Business Rule &amp; Permission'!F36="","",'Business Rule &amp; Permission'!F36)</f>
        <v>UC46</v>
      </c>
      <c r="G33" s="42" t="str">
        <f>IFERROR(__xludf.DUMMYFUNCTION("IF('Business Rule &amp; Permission'!G36="""","""",IFERROR(GOOGLETRANSLATE('Business Rule &amp; Permission'!G36,""en"",""vi""),'Business Rule &amp; Permission'!G36))"),"Phần thưởng / Thỏa thuận")</f>
        <v>Phần thưởng / Thỏa thuận</v>
      </c>
      <c r="H33" s="42" t="str">
        <f>IF('Business Rule &amp; Permission'!H36="","",SWITCH('Business Rule &amp; Permission'!H36,"Must-have","Bắt buộc","Should-have","Nên có","Could-have","Có thể có",'Business Rule &amp; Permission'!H36))</f>
        <v>Bắt buộc</v>
      </c>
      <c r="I33" s="42" t="str">
        <f>IF('Business Rule &amp; Permission'!I36="","",SWITCH('Business Rule &amp; Permission'!I36,"Not Started","Chưa bắt đầu","In Progress","Đang làm","Done","Hoàn thành",'Business Rule &amp; Permission'!I36))</f>
        <v>Chưa bắt đầu</v>
      </c>
      <c r="J33" s="42" t="str">
        <f>IFERROR(__xludf.DUMMYFUNCTION("IF('Business Rule &amp; Permission'!J36="""","""",IFERROR(GOOGLETRANSLATE('Business Rule &amp; Permission'!J36,""en"",""vi""),'Business Rule &amp; Permission'!J36))"),"Việc đánh dấu đã được xử lý bên ngoài không có nghĩa là thành viên đã xác nhận đã nhận được hàng.")</f>
        <v>Việc đánh dấu đã được xử lý bên ngoài không có nghĩa là thành viên đã xác nhận đã nhận được hàng.</v>
      </c>
    </row>
    <row r="34">
      <c r="A34" s="42" t="str">
        <f>IF('Business Rule &amp; Permission'!A37="","",'Business Rule &amp; Permission'!A37)</f>
        <v>BR-REW-04</v>
      </c>
      <c r="B34" s="42" t="str">
        <f>IFERROR(__xludf.DUMMYFUNCTION("IF('Business Rule &amp; Permission'!B37="""","""",IFERROR(GOOGLETRANSLATE('Business Rule &amp; Permission'!B37,""en"",""vi""),'Business Rule &amp; Permission'!B37))"),"Giải quyết tiền thưởng")</f>
        <v>Giải quyết tiền thưởng</v>
      </c>
      <c r="C34" s="42" t="str">
        <f>IFERROR(__xludf.DUMMYFUNCTION("IF('Business Rule &amp; Permission'!C37="""","""",IFERROR(GOOGLETRANSLATE('Business Rule &amp; Permission'!C37,""en"",""vi""),'Business Rule &amp; Permission'!C37))"),"Thành viên được chỉ định phải xác nhận đã nhận phần thưởng trước khi trạng thái phần thưởng được chuyển sang trạng thái Hoàn tất thanh toán.")</f>
        <v>Thành viên được chỉ định phải xác nhận đã nhận phần thưởng trước khi trạng thái phần thưởng được chuyển sang trạng thái Hoàn tất thanh toán.</v>
      </c>
      <c r="D34" s="42" t="str">
        <f>IFERROR(__xludf.DUMMYFUNCTION("IF('Business Rule &amp; Permission'!D37="""","""",IFERROR(GOOGLETRANSLATE('Business Rule &amp; Permission'!D37,""en"",""vi""),'Business Rule &amp; Permission'!D37))"),"Thành viên gia đình")</f>
        <v>Thành viên gia đình</v>
      </c>
      <c r="E34" s="42" t="str">
        <f>IF('Business Rule &amp; Permission'!E37="","",SWITCH('Business Rule &amp; Permission'!E37,"Yes","Có","No","Không","N/A","Không áp dụng","Can view/manage shared part if delegated","Có thể xem/quản lý phần dùng chung nếu được ủy quyền",'Business Rule &amp; Permission'!E37))</f>
        <v>Không</v>
      </c>
      <c r="F34" s="42" t="str">
        <f>IF('Business Rule &amp; Permission'!F37="","",'Business Rule &amp; Permission'!F37)</f>
        <v>UC47, UC49</v>
      </c>
      <c r="G34" s="42" t="str">
        <f>IFERROR(__xludf.DUMMYFUNCTION("IF('Business Rule &amp; Permission'!G37="""","""",IFERROR(GOOGLETRANSLATE('Business Rule &amp; Permission'!G37,""en"",""vi""),'Business Rule &amp; Permission'!G37))"),"Phần thưởng / Thỏa thuận")</f>
        <v>Phần thưởng / Thỏa thuận</v>
      </c>
      <c r="H34" s="42" t="str">
        <f>IF('Business Rule &amp; Permission'!H37="","",SWITCH('Business Rule &amp; Permission'!H37,"Must-have","Bắt buộc","Should-have","Nên có","Could-have","Có thể có",'Business Rule &amp; Permission'!H37))</f>
        <v>Bắt buộc</v>
      </c>
      <c r="I34" s="42" t="str">
        <f>IF('Business Rule &amp; Permission'!I37="","",SWITCH('Business Rule &amp; Permission'!I37,"Not Started","Chưa bắt đầu","In Progress","Đang làm","Done","Hoàn thành",'Business Rule &amp; Permission'!I37))</f>
        <v>Chưa bắt đầu</v>
      </c>
      <c r="J34" s="42" t="str">
        <f>IFERROR(__xludf.DUMMYFUNCTION("IF('Business Rule &amp; Permission'!J37="""","""",IFERROR(GOOGLETRANSLATE('Business Rule &amp; Permission'!J37,""en"",""vi""),'Business Rule &amp; Permission'!J37))"),"Giải quyết vấn đề: việc nhận phần thưởng thực tế phải được thành viên được chỉ định xác nhận.")</f>
        <v>Giải quyết vấn đề: việc nhận phần thưởng thực tế phải được thành viên được chỉ định xác nhận.</v>
      </c>
    </row>
    <row r="35">
      <c r="A35" s="42" t="str">
        <f>IF('Business Rule &amp; Permission'!A38="","",'Business Rule &amp; Permission'!A38)</f>
        <v>BR-REW-05</v>
      </c>
      <c r="B35" s="42" t="str">
        <f>IFERROR(__xludf.DUMMYFUNCTION("IF('Business Rule &amp; Permission'!B38="""","""",IFERROR(GOOGLETRANSLATE('Business Rule &amp; Permission'!B38,""en"",""vi""),'Business Rule &amp; Permission'!B38))"),"Giải quyết tiền thưởng")</f>
        <v>Giải quyết tiền thưởng</v>
      </c>
      <c r="C35" s="42" t="str">
        <f>IFERROR(__xludf.DUMMYFUNCTION("IF('Business Rule &amp; Permission'!C38="""","""",IFERROR(GOOGLETRANSLATE('Business Rule &amp; Permission'!C38,""en"",""vi""),'Business Rule &amp; Permission'!C38))"),"Nếu thành viên được chỉ định không báo cáo, trạng thái phần thưởng sẽ chuyển thành Tranh chấp và cần được Quản lý Gia đình hoặc Phó được ủy quyền xem xét.")</f>
        <v>Nếu thành viên được chỉ định không báo cáo, trạng thái phần thưởng sẽ chuyển thành Tranh chấp và cần được Quản lý Gia đình hoặc Phó được ủy quyền xem xét.</v>
      </c>
      <c r="D35" s="42" t="str">
        <f>IFERROR(__xludf.DUMMYFUNCTION("IF('Business Rule &amp; Permission'!D38="""","""",IFERROR(GOOGLETRANSLATE('Business Rule &amp; Permission'!D38,""en"",""vi""),'Business Rule &amp; Permission'!D38))"),"Thành viên gia đình, người quản lý gia đình, thành viên phó được ủy quyền")</f>
        <v>Thành viên gia đình, người quản lý gia đình, thành viên phó được ủy quyền</v>
      </c>
      <c r="E35" s="42" t="str">
        <f>IF('Business Rule &amp; Permission'!E38="","",SWITCH('Business Rule &amp; Permission'!E38,"Yes","Có","No","Không","N/A","Không áp dụng","Can view/manage shared part if delegated","Có thể xem/quản lý phần dùng chung nếu được ủy quyền",'Business Rule &amp; Permission'!E38))</f>
        <v>Có</v>
      </c>
      <c r="F35" s="42" t="str">
        <f>IF('Business Rule &amp; Permission'!F38="","",'Business Rule &amp; Permission'!F38)</f>
        <v>UC48, UC49</v>
      </c>
      <c r="G35" s="42" t="str">
        <f>IFERROR(__xludf.DUMMYFUNCTION("IF('Business Rule &amp; Permission'!G38="""","""",IFERROR(GOOGLETRANSLATE('Business Rule &amp; Permission'!G38,""en"",""vi""),'Business Rule &amp; Permission'!G38))"),"Phần thưởng / Thỏa thuận")</f>
        <v>Phần thưởng / Thỏa thuận</v>
      </c>
      <c r="H35" s="42" t="str">
        <f>IF('Business Rule &amp; Permission'!H38="","",SWITCH('Business Rule &amp; Permission'!H38,"Must-have","Bắt buộc","Should-have","Nên có","Could-have","Có thể có",'Business Rule &amp; Permission'!H38))</f>
        <v>Nên có</v>
      </c>
      <c r="I35" s="42" t="str">
        <f>IF('Business Rule &amp; Permission'!I38="","",SWITCH('Business Rule &amp; Permission'!I38,"Not Started","Chưa bắt đầu","In Progress","Đang làm","Done","Hoàn thành",'Business Rule &amp; Permission'!I38))</f>
        <v>Chưa bắt đầu</v>
      </c>
      <c r="J35" s="42" t="str">
        <f>IFERROR(__xludf.DUMMYFUNCTION("IF('Business Rule &amp; Permission'!J38="""","""",IFERROR(GOOGLETRANSLATE('Business Rule &amp; Permission'!J38,""en"",""vi""),'Business Rule &amp; Permission'!J38))"),"Giải quyết tranh chấp xử lý sự không khớp giữa hồ sơ đã được quản lý thanh toán và xác nhận biên nhận của thành viên.")</f>
        <v>Giải quyết tranh chấp xử lý sự không khớp giữa hồ sơ đã được quản lý thanh toán và xác nhận biên nhận của thành viên.</v>
      </c>
    </row>
    <row r="36">
      <c r="A36" s="42" t="str">
        <f>IF('Business Rule &amp; Permission'!A39="","",'Business Rule &amp; Permission'!A39)</f>
        <v>BR-REW-06</v>
      </c>
      <c r="B36" s="42" t="str">
        <f>IFERROR(__xludf.DUMMYFUNCTION("IF('Business Rule &amp; Permission'!B39="""","""",IFERROR(GOOGLETRANSLATE('Business Rule &amp; Permission'!B39,""en"",""vi""),'Business Rule &amp; Permission'!B39))"),"Giải quyết tiền thưởng")</f>
        <v>Giải quyết tiền thưởng</v>
      </c>
      <c r="C36" s="42" t="str">
        <f>IFERROR(__xludf.DUMMYFUNCTION("IF('Business Rule &amp; Permission'!C39="""","""",IFERROR(GOOGLETRANSLATE('Business Rule &amp; Permission'!C39,""en"",""vi""),'Business Rule &amp; Permission'!C39))"),"Thông báo thanh toán phần thưởng phải phân tách rõ ràng giữa việc phê duyệt nhiệm vụ, đánh dấu thanh toán bên ngoài, xác nhận nhận tiền của thành viên và tranh chấp.")</f>
        <v>Thông báo thanh toán phần thưởng phải phân tách rõ ràng giữa việc phê duyệt nhiệm vụ, đánh dấu thanh toán bên ngoài, xác nhận nhận tiền của thành viên và tranh chấp.</v>
      </c>
      <c r="D36" s="42" t="str">
        <f>IFERROR(__xludf.DUMMYFUNCTION("IF('Business Rule &amp; Permission'!D39="""","""",IFERROR(GOOGLETRANSLATE('Business Rule &amp; Permission'!D39,""en"",""vi""),'Business Rule &amp; Permission'!D39))"),"Hệ thống, Tất cả các thành viên gia đình")</f>
        <v>Hệ thống, Tất cả các thành viên gia đình</v>
      </c>
      <c r="E36" s="42" t="str">
        <f>IF('Business Rule &amp; Permission'!E39="","",SWITCH('Business Rule &amp; Permission'!E39,"Yes","Có","No","Không","N/A","Không áp dụng","Can view/manage shared part if delegated","Có thể xem/quản lý phần dùng chung nếu được ủy quyền",'Business Rule &amp; Permission'!E39))</f>
        <v>Không</v>
      </c>
      <c r="F36" s="42" t="str">
        <f>IF('Business Rule &amp; Permission'!F39="","",'Business Rule &amp; Permission'!F39)</f>
        <v>UC45-UC48, UC60</v>
      </c>
      <c r="G36" s="42" t="str">
        <f>IFERROR(__xludf.DUMMYFUNCTION("IF('Business Rule &amp; Permission'!G39="""","""",IFERROR(GOOGLETRANSLATE('Business Rule &amp; Permission'!G39,""en"",""vi""),'Business Rule &amp; Permission'!G39))"),"Phần thưởng / Thông báo")</f>
        <v>Phần thưởng / Thông báo</v>
      </c>
      <c r="H36" s="42" t="str">
        <f>IF('Business Rule &amp; Permission'!H39="","",SWITCH('Business Rule &amp; Permission'!H39,"Must-have","Bắt buộc","Should-have","Nên có","Could-have","Có thể có",'Business Rule &amp; Permission'!H39))</f>
        <v>Bắt buộc</v>
      </c>
      <c r="I36" s="42" t="str">
        <f>IF('Business Rule &amp; Permission'!I39="","",SWITCH('Business Rule &amp; Permission'!I39,"Not Started","Chưa bắt đầu","In Progress","Đang làm","Done","Hoàn thành",'Business Rule &amp; Permission'!I39))</f>
        <v>Chưa bắt đầu</v>
      </c>
      <c r="J36" s="42" t="str">
        <f>IFERROR(__xludf.DUMMYFUNCTION("IF('Business Rule &amp; Permission'!J39="""","""",IFERROR(GOOGLETRANSLATE('Business Rule &amp; Permission'!J39,""en"",""vi""),'Business Rule &amp; Permission'!J39))"),"Nội dung thông báo không được ghi rằng tiền đã được hệ thống chuyển khoản.")</f>
        <v>Nội dung thông báo không được ghi rằng tiền đã được hệ thống chuyển khoản.</v>
      </c>
    </row>
    <row r="37">
      <c r="A37" s="35" t="s">
        <v>603</v>
      </c>
      <c r="B37" s="35" t="s">
        <v>1645</v>
      </c>
      <c r="C37" s="35" t="s">
        <v>1794</v>
      </c>
      <c r="D37" s="35" t="s">
        <v>1795</v>
      </c>
      <c r="E37" s="35" t="s">
        <v>1625</v>
      </c>
      <c r="F37" s="35" t="s">
        <v>54</v>
      </c>
      <c r="G37" s="35" t="s">
        <v>1645</v>
      </c>
      <c r="H37" s="35" t="s">
        <v>1616</v>
      </c>
      <c r="I37" s="35" t="s">
        <v>1619</v>
      </c>
      <c r="J37" s="35" t="s">
        <v>1796</v>
      </c>
    </row>
    <row r="38">
      <c r="A38" s="42" t="str">
        <f>IF('Business Rule &amp; Permission'!A41="","",'Business Rule &amp; Permission'!A41)</f>
        <v>BR-SOS-02</v>
      </c>
      <c r="B38" s="42" t="str">
        <f>IFERROR(__xludf.DUMMYFUNCTION("IF('Business Rule &amp; Permission'!B41="""","""",IFERROR(GOOGLETRANSLATE('Business Rule &amp; Permission'!B41,""en"",""vi""),'Business Rule &amp; Permission'!B41))"),"SOS")</f>
        <v>SOS</v>
      </c>
      <c r="C38" s="42" t="str">
        <f>IFERROR(__xludf.DUMMYFUNCTION("IF('Business Rule &amp; Permission'!C41="""","""",IFERROR(GOOGLETRANSLATE('Business Rule &amp; Permission'!C41,""en"",""vi""),'Business Rule &amp; Permission'!C41))"),"Thông báo khẩn cấp (SOS) có độ ưu tiên cao hơn các thông báo thông thường.")</f>
        <v>Thông báo khẩn cấp (SOS) có độ ưu tiên cao hơn các thông báo thông thường.</v>
      </c>
      <c r="D38" s="42" t="str">
        <f>IFERROR(__xludf.DUMMYFUNCTION("IF('Business Rule &amp; Permission'!D41="""","""",IFERROR(GOOGLETRANSLATE('Business Rule &amp; Permission'!D41,""en"",""vi""),'Business Rule &amp; Permission'!D41))"),"Hệ thống")</f>
        <v>Hệ thống</v>
      </c>
      <c r="E38" s="42" t="str">
        <f>IF('Business Rule &amp; Permission'!E41="","",SWITCH('Business Rule &amp; Permission'!E41,"Yes","Có","No","Không","N/A","Không áp dụng","Can view/manage shared part if delegated","Có thể xem/quản lý phần dùng chung nếu được ủy quyền",'Business Rule &amp; Permission'!E41))</f>
        <v>Không áp dụng</v>
      </c>
      <c r="F38" s="42" t="str">
        <f>IF('Business Rule &amp; Permission'!F41="","",'Business Rule &amp; Permission'!F41)</f>
        <v>UC50, UC51, UC57, UC58, UC60</v>
      </c>
      <c r="G38" s="42" t="str">
        <f>IFERROR(__xludf.DUMMYFUNCTION("IF('Business Rule &amp; Permission'!G41="""","""",IFERROR(GOOGLETRANSLATE('Business Rule &amp; Permission'!G41,""en"",""vi""),'Business Rule &amp; Permission'!G41))"),"SOS")</f>
        <v>SOS</v>
      </c>
      <c r="H38" s="42" t="str">
        <f>IF('Business Rule &amp; Permission'!H41="","",SWITCH('Business Rule &amp; Permission'!H41,"Must-have","Bắt buộc","Should-have","Nên có","Could-have","Có thể có",'Business Rule &amp; Permission'!H41))</f>
        <v>Bắt buộc</v>
      </c>
      <c r="I38" s="42" t="str">
        <f>IF('Business Rule &amp; Permission'!I41="","",SWITCH('Business Rule &amp; Permission'!I41,"Not Started","Chưa bắt đầu","In Progress","Đang làm","Done","Hoàn thành",'Business Rule &amp; Permission'!I41))</f>
        <v>Chưa bắt đầu</v>
      </c>
      <c r="J38" s="42" t="str">
        <f>IFERROR(__xludf.DUMMYFUNCTION("IF('Business Rule &amp; Permission'!J41="""","""",IFERROR(GOOGLETRANSLATE('Business Rule &amp; Permission'!J41,""en"",""vi""),'Business Rule &amp; Permission'!J41))"),"Hành vi minh họa quan trọng.")</f>
        <v>Hành vi minh họa quan trọng.</v>
      </c>
    </row>
    <row r="39">
      <c r="A39" s="42" t="str">
        <f>IF('Business Rule &amp; Permission'!A42="","",'Business Rule &amp; Permission'!A42)</f>
        <v>BR-SOS-03</v>
      </c>
      <c r="B39" s="42" t="str">
        <f>IFERROR(__xludf.DUMMYFUNCTION("IF('Business Rule &amp; Permission'!B42="""","""",IFERROR(GOOGLETRANSLATE('Business Rule &amp; Permission'!B42,""en"",""vi""),'Business Rule &amp; Permission'!B42))"),"SOS")</f>
        <v>SOS</v>
      </c>
      <c r="C39" s="42" t="str">
        <f>IFERROR(__xludf.DUMMYFUNCTION("IF('Business Rule &amp; Permission'!C42="""","""",IFERROR(GOOGLETRANSLATE('Business Rule &amp; Permission'!C42,""en"",""vi""),'Business Rule &amp; Permission'!C42))"),"Yêu cầu khẩn cấp (SOS) chỉ có thể được giải quyết/hủy bỏ khi có xác nhận an toàn hoặc lý do xử lý rõ ràng.")</f>
        <v>Yêu cầu khẩn cấp (SOS) chỉ có thể được giải quyết/hủy bỏ khi có xác nhận an toàn hoặc lý do xử lý rõ ràng.</v>
      </c>
      <c r="D39" s="42" t="str">
        <f>IFERROR(__xludf.DUMMYFUNCTION("IF('Business Rule &amp; Permission'!D42="""","""",IFERROR(GOOGLETRANSLATE('Business Rule &amp; Permission'!D42,""en"",""vi""),'Business Rule &amp; Permission'!D42))"),"Quản gia, thành viên phó được ủy quyền")</f>
        <v>Quản gia, thành viên phó được ủy quyền</v>
      </c>
      <c r="E39" s="42" t="str">
        <f>IF('Business Rule &amp; Permission'!E42="","",SWITCH('Business Rule &amp; Permission'!E42,"Yes","Có","No","Không","N/A","Không áp dụng","Can view/manage shared part if delegated","Có thể xem/quản lý phần dùng chung nếu được ủy quyền",'Business Rule &amp; Permission'!E42))</f>
        <v>Có</v>
      </c>
      <c r="F39" s="42" t="str">
        <f>IF('Business Rule &amp; Permission'!F42="","",'Business Rule &amp; Permission'!F42)</f>
        <v>UC52, UC53</v>
      </c>
      <c r="G39" s="42" t="str">
        <f>IFERROR(__xludf.DUMMYFUNCTION("IF('Business Rule &amp; Permission'!G42="""","""",IFERROR(GOOGLETRANSLATE('Business Rule &amp; Permission'!G42,""en"",""vi""),'Business Rule &amp; Permission'!G42))"),"SOS")</f>
        <v>SOS</v>
      </c>
      <c r="H39" s="42" t="str">
        <f>IF('Business Rule &amp; Permission'!H42="","",SWITCH('Business Rule &amp; Permission'!H42,"Must-have","Bắt buộc","Should-have","Nên có","Could-have","Có thể có",'Business Rule &amp; Permission'!H42))</f>
        <v>Bắt buộc</v>
      </c>
      <c r="I39" s="42" t="str">
        <f>IF('Business Rule &amp; Permission'!I42="","",SWITCH('Business Rule &amp; Permission'!I42,"Not Started","Chưa bắt đầu","In Progress","Đang làm","Done","Hoàn thành",'Business Rule &amp; Permission'!I42))</f>
        <v>Chưa bắt đầu</v>
      </c>
      <c r="J39" s="42" t="str">
        <f>IFERROR(__xludf.DUMMYFUNCTION("IF('Business Rule &amp; Permission'!J42="""","""",IFERROR(GOOGLETRANSLATE('Business Rule &amp; Permission'!J42,""en"",""vi""),'Business Rule &amp; Permission'!J42))"),"Lịch sử lưu trữ.")</f>
        <v>Lịch sử lưu trữ.</v>
      </c>
    </row>
    <row r="40">
      <c r="A40" s="42" t="str">
        <f>IF('Business Rule &amp; Permission'!A43="","",'Business Rule &amp; Permission'!A43)</f>
        <v>BR-SOS-04</v>
      </c>
      <c r="B40" s="42" t="str">
        <f>IFERROR(__xludf.DUMMYFUNCTION("IF('Business Rule &amp; Permission'!B43="""","""",IFERROR(GOOGLETRANSLATE('Business Rule &amp; Permission'!B43,""en"",""vi""),'Business Rule &amp; Permission'!B43))"),"SOS")</f>
        <v>SOS</v>
      </c>
      <c r="C40" s="42" t="str">
        <f>IFERROR(__xludf.DUMMYFUNCTION("IF('Business Rule &amp; Permission'!C43="""","""",IFERROR(GOOGLETRANSLATE('Business Rule &amp; Permission'!C43,""en"",""vi""),'Business Rule &amp; Permission'!C43))"),"Lịch sử vị trí/lộ trình cơ bản chỉ được ghi lại khi có sẵn, được cho phép và chức năng SOS đang hoạt động.")</f>
        <v>Lịch sử vị trí/lộ trình cơ bản chỉ được ghi lại khi có sẵn, được cho phép và chức năng SOS đang hoạt động.</v>
      </c>
      <c r="D40" s="42" t="str">
        <f>IFERROR(__xludf.DUMMYFUNCTION("IF('Business Rule &amp; Permission'!D43="""","""",IFERROR(GOOGLETRANSLATE('Business Rule &amp; Permission'!D43,""en"",""vi""),'Business Rule &amp; Permission'!D43))"),"Hệ thống")</f>
        <v>Hệ thống</v>
      </c>
      <c r="E40" s="42" t="str">
        <f>IF('Business Rule &amp; Permission'!E43="","",SWITCH('Business Rule &amp; Permission'!E43,"Yes","Có","No","Không","N/A","Không áp dụng","Can view/manage shared part if delegated","Có thể xem/quản lý phần dùng chung nếu được ủy quyền",'Business Rule &amp; Permission'!E43))</f>
        <v>Không áp dụng</v>
      </c>
      <c r="F40" s="42" t="str">
        <f>IF('Business Rule &amp; Permission'!F43="","",'Business Rule &amp; Permission'!F43)</f>
        <v>UC54, UC59</v>
      </c>
      <c r="G40" s="42" t="str">
        <f>IFERROR(__xludf.DUMMYFUNCTION("IF('Business Rule &amp; Permission'!G43="""","""",IFERROR(GOOGLETRANSLATE('Business Rule &amp; Permission'!G43,""en"",""vi""),'Business Rule &amp; Permission'!G43))"),"SOS")</f>
        <v>SOS</v>
      </c>
      <c r="H40" s="42" t="str">
        <f>IF('Business Rule &amp; Permission'!H43="","",SWITCH('Business Rule &amp; Permission'!H43,"Must-have","Bắt buộc","Should-have","Nên có","Could-have","Có thể có",'Business Rule &amp; Permission'!H43))</f>
        <v>Nên có</v>
      </c>
      <c r="I40" s="42" t="str">
        <f>IF('Business Rule &amp; Permission'!I43="","",SWITCH('Business Rule &amp; Permission'!I43,"Not Started","Chưa bắt đầu","In Progress","Đang làm","Done","Hoàn thành",'Business Rule &amp; Permission'!I43))</f>
        <v>Chưa bắt đầu</v>
      </c>
      <c r="J40" s="42" t="str">
        <f>IFERROR(__xludf.DUMMYFUNCTION("IF('Business Rule &amp; Permission'!J43="""","""",IFERROR(GOOGLETRANSLATE('Business Rule &amp; Permission'!J43,""en"",""vi""),'Business Rule &amp; Permission'!J43))"),"Công nghệ định vị GPS tiên tiến là tương lai.")</f>
        <v>Công nghệ định vị GPS tiên tiến là tương lai.</v>
      </c>
    </row>
    <row r="41">
      <c r="A41" s="42" t="str">
        <f>IF('Business Rule &amp; Permission'!A44="","",'Business Rule &amp; Permission'!A44)</f>
        <v>BR-SOS-05</v>
      </c>
      <c r="B41" s="42" t="str">
        <f>IFERROR(__xludf.DUMMYFUNCTION("IF('Business Rule &amp; Permission'!B44="""","""",IFERROR(GOOGLETRANSLATE('Business Rule &amp; Permission'!B44,""en"",""vi""),'Business Rule &amp; Permission'!B44))"),"SOS")</f>
        <v>SOS</v>
      </c>
      <c r="C41" s="42" t="str">
        <f>IFERROR(__xludf.DUMMYFUNCTION("IF('Business Rule &amp; Permission'!C44="""","""",IFERROR(GOOGLETRANSLATE('Business Rule &amp; Permission'!C44,""en"",""vi""),'Business Rule &amp; Permission'!C44))"),"Chức năng SOS có thể được kích hoạt từ ứng dụng trên điện thoại di động hoặc thiết bị đeo/thiết bị an toàn.")</f>
        <v>Chức năng SOS có thể được kích hoạt từ ứng dụng trên điện thoại di động hoặc thiết bị đeo/thiết bị an toàn.</v>
      </c>
      <c r="D41" s="42" t="str">
        <f>IFERROR(__xludf.DUMMYFUNCTION("IF('Business Rule &amp; Permission'!D44="""","""",IFERROR(GOOGLETRANSLATE('Business Rule &amp; Permission'!D44,""en"",""vi""),'Business Rule &amp; Permission'!D44))"),"Thành viên gia đình, Hệ thống")</f>
        <v>Thành viên gia đình, Hệ thống</v>
      </c>
      <c r="E41" s="42" t="str">
        <f>IF('Business Rule &amp; Permission'!E44="","",SWITCH('Business Rule &amp; Permission'!E44,"Yes","Có","No","Không","N/A","Không áp dụng","Can view/manage shared part if delegated","Có thể xem/quản lý phần dùng chung nếu được ủy quyền",'Business Rule &amp; Permission'!E44))</f>
        <v>Không</v>
      </c>
      <c r="F41" s="42" t="str">
        <f>IF('Business Rule &amp; Permission'!F44="","",'Business Rule &amp; Permission'!F44)</f>
        <v>UC50, UC55-UC59</v>
      </c>
      <c r="G41" s="42" t="str">
        <f>IFERROR(__xludf.DUMMYFUNCTION("IF('Business Rule &amp; Permission'!G44="""","""",IFERROR(GOOGLETRANSLATE('Business Rule &amp; Permission'!G44,""en"",""vi""),'Business Rule &amp; Permission'!G44))"),"SOS / Thiết bị đeo được")</f>
        <v>SOS / Thiết bị đeo được</v>
      </c>
      <c r="H41" s="42" t="str">
        <f>IF('Business Rule &amp; Permission'!H44="","",SWITCH('Business Rule &amp; Permission'!H44,"Must-have","Bắt buộc","Should-have","Nên có","Could-have","Có thể có",'Business Rule &amp; Permission'!H44))</f>
        <v>Bắt buộc</v>
      </c>
      <c r="I41" s="42" t="str">
        <f>IF('Business Rule &amp; Permission'!I44="","",SWITCH('Business Rule &amp; Permission'!I44,"Not Started","Chưa bắt đầu","In Progress","Đang làm","Done","Hoàn thành",'Business Rule &amp; Permission'!I44))</f>
        <v>Chưa bắt đầu</v>
      </c>
      <c r="J41" s="42" t="str">
        <f>IFERROR(__xludf.DUMMYFUNCTION("IF('Business Rule &amp; Permission'!J44="""","""",IFERROR(GOOGLETRANSLATE('Business Rule &amp; Permission'!J44,""en"",""vi""),'Business Rule &amp; Permission'!J44))"),"Làm rõ phạm vi ứng dụng của thiết bị đeo được sau Đánh giá 1.")</f>
        <v>Làm rõ phạm vi ứng dụng của thiết bị đeo được sau Đánh giá 1.</v>
      </c>
    </row>
    <row r="42">
      <c r="A42" s="42" t="str">
        <f>IF('Business Rule &amp; Permission'!A45="","",'Business Rule &amp; Permission'!A45)</f>
        <v>BR-SOS-06</v>
      </c>
      <c r="B42" s="42" t="str">
        <f>IFERROR(__xludf.DUMMYFUNCTION("IF('Business Rule &amp; Permission'!B45="""","""",IFERROR(GOOGLETRANSLATE('Business Rule &amp; Permission'!B45,""en"",""vi""),'Business Rule &amp; Permission'!B45))"),"SOS / Thiết bị đeo được")</f>
        <v>SOS / Thiết bị đeo được</v>
      </c>
      <c r="C42" s="42" t="str">
        <f>IFERROR(__xludf.DUMMYFUNCTION("IF('Business Rule &amp; Permission'!C45="""","""",IFERROR(GOOGLETRANSLATE('Business Rule &amp; Permission'!C45,""en"",""vi""),'Business Rule &amp; Permission'!C45))"),"Việc tích hợp thiết bị đeo có thể được mô phỏng trong bản demo nếu việc tích hợp thiết bị thực tế không ổn định.")</f>
        <v>Việc tích hợp thiết bị đeo có thể được mô phỏng trong bản demo nếu việc tích hợp thiết bị thực tế không ổn định.</v>
      </c>
      <c r="D42" s="42" t="str">
        <f>IFERROR(__xludf.DUMMYFUNCTION("IF('Business Rule &amp; Permission'!D45="""","""",IFERROR(GOOGLETRANSLATE('Business Rule &amp; Permission'!D45,""en"",""vi""),'Business Rule &amp; Permission'!D45))"),"Hệ thống, Thành viên gia đình")</f>
        <v>Hệ thống, Thành viên gia đình</v>
      </c>
      <c r="E42" s="42" t="str">
        <f>IF('Business Rule &amp; Permission'!E45="","",SWITCH('Business Rule &amp; Permission'!E45,"Yes","Có","No","Không","N/A","Không áp dụng","Can view/manage shared part if delegated","Có thể xem/quản lý phần dùng chung nếu được ủy quyền",'Business Rule &amp; Permission'!E45))</f>
        <v>Không</v>
      </c>
      <c r="F42" s="42" t="str">
        <f>IF('Business Rule &amp; Permission'!F45="","",'Business Rule &amp; Permission'!F45)</f>
        <v>UC56-UC58</v>
      </c>
      <c r="G42" s="42" t="str">
        <f>IFERROR(__xludf.DUMMYFUNCTION("IF('Business Rule &amp; Permission'!G45="""","""",IFERROR(GOOGLETRANSLATE('Business Rule &amp; Permission'!G45,""en"",""vi""),'Business Rule &amp; Permission'!G45))"),"SOS / Thiết bị đeo được")</f>
        <v>SOS / Thiết bị đeo được</v>
      </c>
      <c r="H42" s="42" t="str">
        <f>IF('Business Rule &amp; Permission'!H45="","",SWITCH('Business Rule &amp; Permission'!H45,"Must-have","Bắt buộc","Should-have","Nên có","Could-have","Có thể có",'Business Rule &amp; Permission'!H45))</f>
        <v>Bắt buộc</v>
      </c>
      <c r="I42" s="42" t="str">
        <f>IF('Business Rule &amp; Permission'!I45="","",SWITCH('Business Rule &amp; Permission'!I45,"Not Started","Chưa bắt đầu","In Progress","Đang làm","Done","Hoàn thành",'Business Rule &amp; Permission'!I45))</f>
        <v>Chưa bắt đầu</v>
      </c>
      <c r="J42" s="42" t="str">
        <f>IFERROR(__xludf.DUMMYFUNCTION("IF('Business Rule &amp; Permission'!J45="""","""",IFERROR(GOOGLETRANSLATE('Business Rule &amp; Permission'!J45,""en"",""vi""),'Business Rule &amp; Permission'!J45))"),"Quy tắc triển khai an toàn cho bản demo.")</f>
        <v>Quy tắc triển khai an toàn cho bản demo.</v>
      </c>
    </row>
    <row r="43">
      <c r="A43" s="42" t="str">
        <f>IF('Business Rule &amp; Permission'!A50="","",'Business Rule &amp; Permission'!A50)</f>
        <v>BR-COM-01</v>
      </c>
      <c r="B43" s="42" t="str">
        <f>IFERROR(__xludf.DUMMYFUNCTION("IF('Business Rule &amp; Permission'!B50="""","""",IFERROR(GOOGLETRANSLATE('Business Rule &amp; Permission'!B50,""en"",""vi""),'Business Rule &amp; Permission'!B50))"),"Giao tiếp")</f>
        <v>Giao tiếp</v>
      </c>
      <c r="C43" s="42" t="str">
        <f>IFERROR(__xludf.DUMMYFUNCTION("IF('Business Rule &amp; Permission'!C50="""","""",IFERROR(GOOGLETRANSLATE('Business Rule &amp; Permission'!C50,""en"",""vi""),'Business Rule &amp; Permission'!C50))"),"Các thông báo cho gia đình phải được gửi trong cùng một Không gian làm việc dành cho gia đình và được phân loại theo loại.")</f>
        <v>Các thông báo cho gia đình phải được gửi trong cùng một Không gian làm việc dành cho gia đình và được phân loại theo loại.</v>
      </c>
      <c r="D43" s="42" t="str">
        <f>IFERROR(__xludf.DUMMYFUNCTION("IF('Business Rule &amp; Permission'!D50="""","""",IFERROR(GOOGLETRANSLATE('Business Rule &amp; Permission'!D50,""en"",""vi""),'Business Rule &amp; Permission'!D50))"),"Tất cả các thành viên trong gia đình")</f>
        <v>Tất cả các thành viên trong gia đình</v>
      </c>
      <c r="E43" s="42" t="str">
        <f>IF('Business Rule &amp; Permission'!E50="","",SWITCH('Business Rule &amp; Permission'!E50,"Yes","Có","No","Không","N/A","Không áp dụng","Can view/manage shared part if delegated","Có thể xem/quản lý phần dùng chung nếu được ủy quyền",'Business Rule &amp; Permission'!E50))</f>
        <v>Không</v>
      </c>
      <c r="F43" s="42" t="str">
        <f>IF('Business Rule &amp; Permission'!F50="","",'Business Rule &amp; Permission'!F50)</f>
        <v>UC60</v>
      </c>
      <c r="G43" s="42" t="str">
        <f>IFERROR(__xludf.DUMMYFUNCTION("IF('Business Rule &amp; Permission'!G50="""","""",IFERROR(GOOGLETRANSLATE('Business Rule &amp; Permission'!G50,""en"",""vi""),'Business Rule &amp; Permission'!G50))"),"Giao tiếp")</f>
        <v>Giao tiếp</v>
      </c>
      <c r="H43" s="42" t="str">
        <f>IF('Business Rule &amp; Permission'!H50="","",SWITCH('Business Rule &amp; Permission'!H50,"Must-have","Bắt buộc","Should-have","Nên có","Could-have","Có thể có",'Business Rule &amp; Permission'!H50))</f>
        <v>Bắt buộc</v>
      </c>
      <c r="I43" s="42" t="str">
        <f>IF('Business Rule &amp; Permission'!I50="","",SWITCH('Business Rule &amp; Permission'!I50,"Not Started","Chưa bắt đầu","In Progress","Đang làm","Done","Hoàn thành",'Business Rule &amp; Permission'!I50))</f>
        <v>Chưa bắt đầu</v>
      </c>
      <c r="J43" s="42" t="str">
        <f>IFERROR(__xludf.DUMMYFUNCTION("IF('Business Rule &amp; Permission'!J50="""","""",IFERROR(GOOGLETRANSLATE('Business Rule &amp; Permission'!J50,""en"",""vi""),'Business Rule &amp; Permission'!J50))"),"Các loại thông báo: nhiệm vụ, thanh toán phần thưởng, yêu cầu hỗ trợ chi tiêu, thông báo, SOS.")</f>
        <v>Các loại thông báo: nhiệm vụ, thanh toán phần thưởng, yêu cầu hỗ trợ chi tiêu, thông báo, SOS.</v>
      </c>
    </row>
    <row r="44">
      <c r="A44" s="42" t="str">
        <f>IF('Business Rule &amp; Permission'!A51="","",'Business Rule &amp; Permission'!A51)</f>
        <v>BR-COM-02</v>
      </c>
      <c r="B44" s="42" t="str">
        <f>IFERROR(__xludf.DUMMYFUNCTION("IF('Business Rule &amp; Permission'!B51="""","""",IFERROR(GOOGLETRANSLATE('Business Rule &amp; Permission'!B51,""en"",""vi""),'Business Rule &amp; Permission'!B51))"),"Giao tiếp")</f>
        <v>Giao tiếp</v>
      </c>
      <c r="C44" s="42" t="str">
        <f>IFERROR(__xludf.DUMMYFUNCTION("IF('Business Rule &amp; Permission'!C51="""","""",IFERROR(GOOGLETRANSLATE('Business Rule &amp; Permission'!C51,""en"",""vi""),'Business Rule &amp; Permission'!C51))"),"Tính năng trò chuyện gia đình chỉ dành cho các thành viên cùng thuộc Không gian làm việc gia đình.")</f>
        <v>Tính năng trò chuyện gia đình chỉ dành cho các thành viên cùng thuộc Không gian làm việc gia đình.</v>
      </c>
      <c r="D44" s="42" t="str">
        <f>IFERROR(__xludf.DUMMYFUNCTION("IF('Business Rule &amp; Permission'!D51="""","""",IFERROR(GOOGLETRANSLATE('Business Rule &amp; Permission'!D51,""en"",""vi""),'Business Rule &amp; Permission'!D51))"),"Tất cả các thành viên trong gia đình")</f>
        <v>Tất cả các thành viên trong gia đình</v>
      </c>
      <c r="E44" s="42" t="str">
        <f>IF('Business Rule &amp; Permission'!E51="","",SWITCH('Business Rule &amp; Permission'!E51,"Yes","Có","No","Không","N/A","Không áp dụng","Can view/manage shared part if delegated","Có thể xem/quản lý phần dùng chung nếu được ủy quyền",'Business Rule &amp; Permission'!E51))</f>
        <v>Không</v>
      </c>
      <c r="F44" s="42" t="str">
        <f>IF('Business Rule &amp; Permission'!F51="","",'Business Rule &amp; Permission'!F51)</f>
        <v>UC61, UC62</v>
      </c>
      <c r="G44" s="42" t="str">
        <f>IFERROR(__xludf.DUMMYFUNCTION("IF('Business Rule &amp; Permission'!G51="""","""",IFERROR(GOOGLETRANSLATE('Business Rule &amp; Permission'!G51,""en"",""vi""),'Business Rule &amp; Permission'!G51))"),"Giao tiếp")</f>
        <v>Giao tiếp</v>
      </c>
      <c r="H44" s="42" t="str">
        <f>IF('Business Rule &amp; Permission'!H51="","",SWITCH('Business Rule &amp; Permission'!H51,"Must-have","Bắt buộc","Should-have","Nên có","Could-have","Có thể có",'Business Rule &amp; Permission'!H51))</f>
        <v>Nên có</v>
      </c>
      <c r="I44" s="42" t="str">
        <f>IF('Business Rule &amp; Permission'!I51="","",SWITCH('Business Rule &amp; Permission'!I51,"Not Started","Chưa bắt đầu","In Progress","Đang làm","Done","Hoàn thành",'Business Rule &amp; Permission'!I51))</f>
        <v>Chưa bắt đầu</v>
      </c>
      <c r="J44" s="42" t="str">
        <f>IFERROR(__xludf.DUMMYFUNCTION("IF('Business Rule &amp; Permission'!J51="""","""",IFERROR(GOOGLETRANSLATE('Business Rule &amp; Permission'!J51,""en"",""vi""),'Business Rule &amp; Permission'!J51))"),"Ngăn chặn rò rỉ dữ liệu giữa các thành viên trong gia đình.")</f>
        <v>Ngăn chặn rò rỉ dữ liệu giữa các thành viên trong gia đình.</v>
      </c>
    </row>
    <row r="45">
      <c r="A45" s="42" t="str">
        <f>IF('Business Rule &amp; Permission'!A52="","",'Business Rule &amp; Permission'!A52)</f>
        <v>BR-COM-03</v>
      </c>
      <c r="B45" s="42" t="str">
        <f>IFERROR(__xludf.DUMMYFUNCTION("IF('Business Rule &amp; Permission'!B52="""","""",IFERROR(GOOGLETRANSLATE('Business Rule &amp; Permission'!B52,""en"",""vi""),'Business Rule &amp; Permission'!B52))"),"Giao tiếp")</f>
        <v>Giao tiếp</v>
      </c>
      <c r="C45" s="42" t="str">
        <f>IFERROR(__xludf.DUMMYFUNCTION("IF('Business Rule &amp; Permission'!C52="""","""",IFERROR(GOOGLETRANSLATE('Business Rule &amp; Permission'!C52,""en"",""vi""),'Business Rule &amp; Permission'!C52))"),"Thông báo gia đình có thể được gửi bởi Quản trị viên gia đình hoặc thành viên được ủy quyền.")</f>
        <v>Thông báo gia đình có thể được gửi bởi Quản trị viên gia đình hoặc thành viên được ủy quyền.</v>
      </c>
      <c r="D45" s="42" t="str">
        <f>IFERROR(__xludf.DUMMYFUNCTION("IF('Business Rule &amp; Permission'!D52="""","""",IFERROR(GOOGLETRANSLATE('Business Rule &amp; Permission'!D52,""en"",""vi""),'Business Rule &amp; Permission'!D52))"),"Quản gia, thành viên phó được ủy quyền")</f>
        <v>Quản gia, thành viên phó được ủy quyền</v>
      </c>
      <c r="E45" s="42" t="str">
        <f>IF('Business Rule &amp; Permission'!E52="","",SWITCH('Business Rule &amp; Permission'!E52,"Yes","Có","No","Không","N/A","Không áp dụng","Can view/manage shared part if delegated","Có thể xem/quản lý phần dùng chung nếu được ủy quyền",'Business Rule &amp; Permission'!E52))</f>
        <v>Có</v>
      </c>
      <c r="F45" s="42" t="str">
        <f>IF('Business Rule &amp; Permission'!F52="","",'Business Rule &amp; Permission'!F52)</f>
        <v>UC63</v>
      </c>
      <c r="G45" s="42" t="str">
        <f>IFERROR(__xludf.DUMMYFUNCTION("IF('Business Rule &amp; Permission'!G52="""","""",IFERROR(GOOGLETRANSLATE('Business Rule &amp; Permission'!G52,""en"",""vi""),'Business Rule &amp; Permission'!G52))"),"Giao tiếp")</f>
        <v>Giao tiếp</v>
      </c>
      <c r="H45" s="42" t="str">
        <f>IF('Business Rule &amp; Permission'!H52="","",SWITCH('Business Rule &amp; Permission'!H52,"Must-have","Bắt buộc","Should-have","Nên có","Could-have","Có thể có",'Business Rule &amp; Permission'!H52))</f>
        <v>Nên có</v>
      </c>
      <c r="I45" s="42" t="str">
        <f>IF('Business Rule &amp; Permission'!I52="","",SWITCH('Business Rule &amp; Permission'!I52,"Not Started","Chưa bắt đầu","In Progress","Đang làm","Done","Hoàn thành",'Business Rule &amp; Permission'!I52))</f>
        <v>Chưa bắt đầu</v>
      </c>
      <c r="J45" s="42" t="str">
        <f>IFERROR(__xludf.DUMMYFUNCTION("IF('Business Rule &amp; Permission'!J52="""","""",IFERROR(GOOGLETRANSLATE('Business Rule &amp; Permission'!J52,""en"",""vi""),'Business Rule &amp; Permission'!J52))"),"Không tạo diễn viên mới.")</f>
        <v>Không tạo diễn viên mới.</v>
      </c>
    </row>
    <row r="46">
      <c r="A46" s="42" t="str">
        <f>IF('Business Rule &amp; Permission'!A53="","",'Business Rule &amp; Permission'!A53)</f>
        <v>BR-COM-04</v>
      </c>
      <c r="B46" s="42" t="str">
        <f>IFERROR(__xludf.DUMMYFUNCTION("IF('Business Rule &amp; Permission'!B53="""","""",IFERROR(GOOGLETRANSLATE('Business Rule &amp; Permission'!B53,""en"",""vi""),'Business Rule &amp; Permission'!B53))"),"Giao tiếp")</f>
        <v>Giao tiếp</v>
      </c>
      <c r="C46" s="42" t="str">
        <f>IFERROR(__xludf.DUMMYFUNCTION("IF('Business Rule &amp; Permission'!C53="""","""",IFERROR(GOOGLETRANSLATE('Business Rule &amp; Permission'!C53,""en"",""vi""),'Business Rule &amp; Permission'!C53))"),"Việc liên lạc an toàn nhanh chóng chỉ hỗ trợ ngữ cảnh SOS và phải giữ ở mức cơ bản trong phạm vi hiện tại.")</f>
        <v>Việc liên lạc an toàn nhanh chóng chỉ hỗ trợ ngữ cảnh SOS và phải giữ ở mức cơ bản trong phạm vi hiện tại.</v>
      </c>
      <c r="D46" s="42" t="str">
        <f>IFERROR(__xludf.DUMMYFUNCTION("IF('Business Rule &amp; Permission'!D53="""","""",IFERROR(GOOGLETRANSLATE('Business Rule &amp; Permission'!D53,""en"",""vi""),'Business Rule &amp; Permission'!D53))"),"Tất cả các thành viên trong gia đình")</f>
        <v>Tất cả các thành viên trong gia đình</v>
      </c>
      <c r="E46" s="42" t="str">
        <f>IF('Business Rule &amp; Permission'!E53="","",SWITCH('Business Rule &amp; Permission'!E53,"Yes","Có","No","Không","N/A","Không áp dụng","Can view/manage shared part if delegated","Có thể xem/quản lý phần dùng chung nếu được ủy quyền",'Business Rule &amp; Permission'!E53))</f>
        <v>Không</v>
      </c>
      <c r="F46" s="42" t="str">
        <f>IF('Business Rule &amp; Permission'!F53="","",'Business Rule &amp; Permission'!F53)</f>
        <v>UC64</v>
      </c>
      <c r="G46" s="42" t="str">
        <f>IFERROR(__xludf.DUMMYFUNCTION("IF('Business Rule &amp; Permission'!G53="""","""",IFERROR(GOOGLETRANSLATE('Business Rule &amp; Permission'!G53,""en"",""vi""),'Business Rule &amp; Permission'!G53))"),"Liên lạc / SOS")</f>
        <v>Liên lạc / SOS</v>
      </c>
      <c r="H46" s="42" t="str">
        <f>IF('Business Rule &amp; Permission'!H53="","",SWITCH('Business Rule &amp; Permission'!H53,"Must-have","Bắt buộc","Should-have","Nên có","Could-have","Có thể có",'Business Rule &amp; Permission'!H53))</f>
        <v>Có thể có</v>
      </c>
      <c r="I46" s="42" t="str">
        <f>IF('Business Rule &amp; Permission'!I53="","",SWITCH('Business Rule &amp; Permission'!I53,"Not Started","Chưa bắt đầu","In Progress","Đang làm","Done","Hoàn thành",'Business Rule &amp; Permission'!I53))</f>
        <v>Chưa bắt đầu</v>
      </c>
      <c r="J46" s="42" t="str">
        <f>IFERROR(__xludf.DUMMYFUNCTION("IF('Business Rule &amp; Permission'!J53="""","""",IFERROR(GOOGLETRANSLATE('Business Rule &amp; Permission'!J53,""en"",""vi""),'Business Rule &amp; Permission'!J53))"),"Hiện tại, tính năng gọi/cứu hộ chưa được tích hợp đầy đủ.")</f>
        <v>Hiện tại, tính năng gọi/cứu hộ chưa được tích hợp đầy đủ.</v>
      </c>
    </row>
    <row r="47">
      <c r="A47" s="42" t="str">
        <f>IF('Business Rule &amp; Permission'!A54="","",'Business Rule &amp; Permission'!A54)</f>
        <v>BR-AI-01</v>
      </c>
      <c r="B47" s="42" t="str">
        <f>IFERROR(__xludf.DUMMYFUNCTION("IF('Business Rule &amp; Permission'!B54="""","""",IFERROR(GOOGLETRANSLATE('Business Rule &amp; Permission'!B54,""en"",""vi""),'Business Rule &amp; Permission'!B54))"),"Trí tuệ nhân tạo")</f>
        <v>Trí tuệ nhân tạo</v>
      </c>
      <c r="C47" s="42" t="str">
        <f>IFERROR(__xludf.DUMMYFUNCTION("IF('Business Rule &amp; Permission'!C54="""","""",IFERROR(GOOGLETRANSLATE('Business Rule &amp; Permission'!C54,""en"",""vi""),'Business Rule &amp; Permission'!C54))"),"Trí tuệ nhân tạo (AI) chỉ có thể truy cập và tóm tắt dữ liệu mà người dùng hiện tại được phép xem trong Không gian làm việc gia đình của người dùng đó.")</f>
        <v>Trí tuệ nhân tạo (AI) chỉ có thể truy cập và tóm tắt dữ liệu mà người dùng hiện tại được phép xem trong Không gian làm việc gia đình của người dùng đó.</v>
      </c>
      <c r="D47" s="42" t="str">
        <f>IFERROR(__xludf.DUMMYFUNCTION("IF('Business Rule &amp; Permission'!D54="""","""",IFERROR(GOOGLETRANSLATE('Business Rule &amp; Permission'!D54,""en"",""vi""),'Business Rule &amp; Permission'!D54))"),"Tất cả người dùng, Trợ lý AI")</f>
        <v>Tất cả người dùng, Trợ lý AI</v>
      </c>
      <c r="E47" s="42" t="str">
        <f>IF('Business Rule &amp; Permission'!E54="","",SWITCH('Business Rule &amp; Permission'!E54,"Yes","Có","No","Không","N/A","Không áp dụng","Can view/manage shared part if delegated","Có thể xem/quản lý phần dùng chung nếu được ủy quyền",'Business Rule &amp; Permission'!E54))</f>
        <v>Không</v>
      </c>
      <c r="F47" s="42" t="str">
        <f>IF('Business Rule &amp; Permission'!F54="","",'Business Rule &amp; Permission'!F54)</f>
        <v>UC65-UC68</v>
      </c>
      <c r="G47" s="42" t="str">
        <f>IFERROR(__xludf.DUMMYFUNCTION("IF('Business Rule &amp; Permission'!G54="""","""",IFERROR(GOOGLETRANSLATE('Business Rule &amp; Permission'!G54,""en"",""vi""),'Business Rule &amp; Permission'!G54))"),"Trí tuệ nhân tạo / Quyền hạn")</f>
        <v>Trí tuệ nhân tạo / Quyền hạn</v>
      </c>
      <c r="H47" s="42" t="str">
        <f>IF('Business Rule &amp; Permission'!H54="","",SWITCH('Business Rule &amp; Permission'!H54,"Must-have","Bắt buộc","Should-have","Nên có","Could-have","Có thể có",'Business Rule &amp; Permission'!H54))</f>
        <v>Bắt buộc</v>
      </c>
      <c r="I47" s="42" t="str">
        <f>IF('Business Rule &amp; Permission'!I54="","",SWITCH('Business Rule &amp; Permission'!I54,"Not Started","Chưa bắt đầu","In Progress","Đang làm","Done","Hoàn thành",'Business Rule &amp; Permission'!I54))</f>
        <v>Chưa bắt đầu</v>
      </c>
      <c r="J47" s="42" t="str">
        <f>IFERROR(__xludf.DUMMYFUNCTION("IF('Business Rule &amp; Permission'!J54="""","""",IFERROR(GOOGLETRANSLATE('Business Rule &amp; Permission'!J54,""en"",""vi""),'Business Rule &amp; Permission'!J54))"),"Ngăn chặn AI làm rò rỉ dữ liệu giữa các thành viên trong gia đình hoặc dữ liệu trái phép.")</f>
        <v>Ngăn chặn AI làm rò rỉ dữ liệu giữa các thành viên trong gia đình hoặc dữ liệu trái phép.</v>
      </c>
    </row>
    <row r="48">
      <c r="A48" s="42" t="str">
        <f>IF('Business Rule &amp; Permission'!A55="","",'Business Rule &amp; Permission'!A55)</f>
        <v>BR-AI-02</v>
      </c>
      <c r="B48" s="42" t="str">
        <f>IFERROR(__xludf.DUMMYFUNCTION("IF('Business Rule &amp; Permission'!B55="""","""",IFERROR(GOOGLETRANSLATE('Business Rule &amp; Permission'!B55,""en"",""vi""),'Business Rule &amp; Permission'!B55))"),"Trí tuệ nhân tạo")</f>
        <v>Trí tuệ nhân tạo</v>
      </c>
      <c r="C48" s="42" t="str">
        <f>IFERROR(__xludf.DUMMYFUNCTION("IF('Business Rule &amp; Permission'!C55="""","""",IFERROR(GOOGLETRANSLATE('Business Rule &amp; Permission'!C55,""en"",""vi""),'Business Rule &amp; Permission'!C55))"),"Trí tuệ nhân tạo (AI) chỉ cung cấp tóm tắt, nhắc nhở và đề xuất; nó không thể tự động đưa ra các quyết định về tài chính, nhiệm vụ, phần thưởng hoặc cứu hộ khẩn cấp.")</f>
        <v>Trí tuệ nhân tạo (AI) chỉ cung cấp tóm tắt, nhắc nhở và đề xuất; nó không thể tự động đưa ra các quyết định về tài chính, nhiệm vụ, phần thưởng hoặc cứu hộ khẩn cấp.</v>
      </c>
      <c r="D48" s="42" t="str">
        <f>IFERROR(__xludf.DUMMYFUNCTION("IF('Business Rule &amp; Permission'!D55="""","""",IFERROR(GOOGLETRANSLATE('Business Rule &amp; Permission'!D55,""en"",""vi""),'Business Rule &amp; Permission'!D55))"),"Trợ lý AI, Hệ thống")</f>
        <v>Trợ lý AI, Hệ thống</v>
      </c>
      <c r="E48" s="42" t="str">
        <f>IF('Business Rule &amp; Permission'!E55="","",SWITCH('Business Rule &amp; Permission'!E55,"Yes","Có","No","Không","N/A","Không áp dụng","Can view/manage shared part if delegated","Có thể xem/quản lý phần dùng chung nếu được ủy quyền",'Business Rule &amp; Permission'!E55))</f>
        <v>Không</v>
      </c>
      <c r="F48" s="42" t="str">
        <f>IF('Business Rule &amp; Permission'!F55="","",'Business Rule &amp; Permission'!F55)</f>
        <v>UC65, UC67, UC68</v>
      </c>
      <c r="G48" s="42" t="str">
        <f>IFERROR(__xludf.DUMMYFUNCTION("IF('Business Rule &amp; Permission'!G55="""","""",IFERROR(GOOGLETRANSLATE('Business Rule &amp; Permission'!G55,""en"",""vi""),'Business Rule &amp; Permission'!G55))"),"Trí tuệ nhân tạo")</f>
        <v>Trí tuệ nhân tạo</v>
      </c>
      <c r="H48" s="42" t="str">
        <f>IF('Business Rule &amp; Permission'!H55="","",SWITCH('Business Rule &amp; Permission'!H55,"Must-have","Bắt buộc","Should-have","Nên có","Could-have","Có thể có",'Business Rule &amp; Permission'!H55))</f>
        <v>Bắt buộc</v>
      </c>
      <c r="I48" s="42" t="str">
        <f>IF('Business Rule &amp; Permission'!I55="","",SWITCH('Business Rule &amp; Permission'!I55,"Not Started","Chưa bắt đầu","In Progress","Đang làm","Done","Hoàn thành",'Business Rule &amp; Permission'!I55))</f>
        <v>Chưa bắt đầu</v>
      </c>
      <c r="J48" s="42" t="str">
        <f>IFERROR(__xludf.DUMMYFUNCTION("IF('Business Rule &amp; Permission'!J55="""","""",IFERROR(GOOGLETRANSLATE('Business Rule &amp; Permission'!J55,""en"",""vi""),'Business Rule &amp; Permission'!J55))"),"Việc xác nhận của người dùng là bắt buộc đối với bất kỳ hành động thực sự nào.")</f>
        <v>Việc xác nhận của người dùng là bắt buộc đối với bất kỳ hành động thực sự nào.</v>
      </c>
    </row>
    <row r="49">
      <c r="A49" s="42" t="str">
        <f>IF('Business Rule &amp; Permission'!A56="","",'Business Rule &amp; Permission'!A56)</f>
        <v>BR-AI-03</v>
      </c>
      <c r="B49" s="42" t="str">
        <f>IFERROR(__xludf.DUMMYFUNCTION("IF('Business Rule &amp; Permission'!B56="""","""",IFERROR(GOOGLETRANSLATE('Business Rule &amp; Permission'!B56,""en"",""vi""),'Business Rule &amp; Permission'!B56))"),"Trí tuệ nhân tạo")</f>
        <v>Trí tuệ nhân tạo</v>
      </c>
      <c r="C49" s="42" t="str">
        <f>IFERROR(__xludf.DUMMYFUNCTION("IF('Business Rule &amp; Permission'!C56="""","""",IFERROR(GOOGLETRANSLATE('Business Rule &amp; Permission'!C56,""en"",""vi""),'Business Rule &amp; Permission'!C56))"),"Thông tin tài chính nhạy cảm không được phép tiết lộ cho các thành viên gia đình không được ủy quyền thông qua phản hồi của AI.")</f>
        <v>Thông tin tài chính nhạy cảm không được phép tiết lộ cho các thành viên gia đình không được ủy quyền thông qua phản hồi của AI.</v>
      </c>
      <c r="D49" s="42" t="str">
        <f>IFERROR(__xludf.DUMMYFUNCTION("IF('Business Rule &amp; Permission'!D56="""","""",IFERROR(GOOGLETRANSLATE('Business Rule &amp; Permission'!D56,""en"",""vi""),'Business Rule &amp; Permission'!D56))"),"Quản gia, Thành viên gia đình, Phó thành viên được ủy quyền")</f>
        <v>Quản gia, Thành viên gia đình, Phó thành viên được ủy quyền</v>
      </c>
      <c r="E49" s="42" t="str">
        <f>IF('Business Rule &amp; Permission'!E56="","",SWITCH('Business Rule &amp; Permission'!E56,"Yes","Có","No","Không","N/A","Không áp dụng","Can view/manage shared part if delegated","Có thể xem/quản lý phần dùng chung nếu được ủy quyền",'Business Rule &amp; Permission'!E56))</f>
        <v>Không</v>
      </c>
      <c r="F49" s="42" t="str">
        <f>IF('Business Rule &amp; Permission'!F56="","",'Business Rule &amp; Permission'!F56)</f>
        <v>UC66</v>
      </c>
      <c r="G49" s="42" t="str">
        <f>IFERROR(__xludf.DUMMYFUNCTION("IF('Business Rule &amp; Permission'!G56="""","""",IFERROR(GOOGLETRANSLATE('Business Rule &amp; Permission'!G56,""en"",""vi""),'Business Rule &amp; Permission'!G56))"),"Trí tuệ nhân tạo / Tài chính / Quyền riêng tư")</f>
        <v>Trí tuệ nhân tạo / Tài chính / Quyền riêng tư</v>
      </c>
      <c r="H49" s="42" t="str">
        <f>IF('Business Rule &amp; Permission'!H56="","",SWITCH('Business Rule &amp; Permission'!H56,"Must-have","Bắt buộc","Should-have","Nên có","Could-have","Có thể có",'Business Rule &amp; Permission'!H56))</f>
        <v>Bắt buộc</v>
      </c>
      <c r="I49" s="42" t="str">
        <f>IF('Business Rule &amp; Permission'!I56="","",SWITCH('Business Rule &amp; Permission'!I56,"Not Started","Chưa bắt đầu","In Progress","Đang làm","Done","Hoàn thành",'Business Rule &amp; Permission'!I56))</f>
        <v>Chưa bắt đầu</v>
      </c>
      <c r="J49" s="42" t="str">
        <f>IFERROR(__xludf.DUMMYFUNCTION("IF('Business Rule &amp; Permission'!J56="""","""",IFERROR(GOOGLETRANSLATE('Business Rule &amp; Permission'!J56,""en"",""vi""),'Business Rule &amp; Permission'!J56))"),"Bản tóm tắt tài chính AI phải tuân thủ các quy tắc về bảo mật tài chính.")</f>
        <v>Bản tóm tắt tài chính AI phải tuân thủ các quy tắc về bảo mật tài chính.</v>
      </c>
    </row>
    <row r="50">
      <c r="A50" s="42" t="str">
        <f>IF('Business Rule &amp; Permission'!A57="","",'Business Rule &amp; Permission'!A57)</f>
        <v>BR-AI-04</v>
      </c>
      <c r="B50" s="42" t="str">
        <f>IFERROR(__xludf.DUMMYFUNCTION("IF('Business Rule &amp; Permission'!B57="""","""",IFERROR(GOOGLETRANSLATE('Business Rule &amp; Permission'!B57,""en"",""vi""),'Business Rule &amp; Permission'!B57))"),"Trí tuệ nhân tạo")</f>
        <v>Trí tuệ nhân tạo</v>
      </c>
      <c r="C50" s="42" t="str">
        <f>IFERROR(__xludf.DUMMYFUNCTION("IF('Business Rule &amp; Permission'!C57="""","""",IFERROR(GOOGLETRANSLATE('Business Rule &amp; Permission'!C57,""en"",""vi""),'Business Rule &amp; Permission'!C57))"),"Khả năng dự đoán, tự động hóa, tối ưu hóa và ra quyết định tự động tiên tiến của trí tuệ nhân tạo sẽ là những cải tiến trong tương lai.")</f>
        <v>Khả năng dự đoán, tự động hóa, tối ưu hóa và ra quyết định tự động tiên tiến của trí tuệ nhân tạo sẽ là những cải tiến trong tương lai.</v>
      </c>
      <c r="D50" s="42" t="str">
        <f>IFERROR(__xludf.DUMMYFUNCTION("IF('Business Rule &amp; Permission'!D57="""","""",IFERROR(GOOGLETRANSLATE('Business Rule &amp; Permission'!D57,""en"",""vi""),'Business Rule &amp; Permission'!D57))"),"Trợ lý AI")</f>
        <v>Trợ lý AI</v>
      </c>
      <c r="E50" s="42" t="str">
        <f>IF('Business Rule &amp; Permission'!E57="","",SWITCH('Business Rule &amp; Permission'!E57,"Yes","Có","No","Không","N/A","Không áp dụng","Can view/manage shared part if delegated","Có thể xem/quản lý phần dùng chung nếu được ủy quyền",'Business Rule &amp; Permission'!E57))</f>
        <v>Không</v>
      </c>
      <c r="F50" s="42" t="str">
        <f>IF('Business Rule &amp; Permission'!F57="","",'Business Rule &amp; Permission'!F57)</f>
        <v>UC68</v>
      </c>
      <c r="G50" s="42" t="str">
        <f>IFERROR(__xludf.DUMMYFUNCTION("IF('Business Rule &amp; Permission'!G57="""","""",IFERROR(GOOGLETRANSLATE('Business Rule &amp; Permission'!G57,""en"",""vi""),'Business Rule &amp; Permission'!G57))"),"Tương lai")</f>
        <v>Tương lai</v>
      </c>
      <c r="H50" s="42" t="str">
        <f>IF('Business Rule &amp; Permission'!H57="","",SWITCH('Business Rule &amp; Permission'!H57,"Must-have","Bắt buộc","Should-have","Nên có","Could-have","Có thể có",'Business Rule &amp; Permission'!H57))</f>
        <v>Bắt buộc</v>
      </c>
      <c r="I50" s="42" t="str">
        <f>IF('Business Rule &amp; Permission'!I57="","",SWITCH('Business Rule &amp; Permission'!I57,"Not Started","Chưa bắt đầu","In Progress","Đang làm","Done","Hoàn thành",'Business Rule &amp; Permission'!I57))</f>
        <v>Chưa bắt đầu</v>
      </c>
      <c r="J50" s="42" t="str">
        <f>IFERROR(__xludf.DUMMYFUNCTION("IF('Business Rule &amp; Permission'!J57="""","""",IFERROR(GOOGLETRANSLATE('Business Rule &amp; Permission'!J57,""en"",""vi""),'Business Rule &amp; Permission'!J57))"),"Hãy giữ cho MVP AI đơn giản và an toàn.")</f>
        <v>Hãy giữ cho MVP AI đơn giản và an toàn.</v>
      </c>
    </row>
    <row r="51">
      <c r="A51" s="42" t="str">
        <f>IF('Business Rule &amp; Permission'!A58="","",'Business Rule &amp; Permission'!A58)</f>
        <v>BR-AI-05</v>
      </c>
      <c r="B51" s="42" t="str">
        <f>IFERROR(__xludf.DUMMYFUNCTION("IF('Business Rule &amp; Permission'!B58="""","""",IFERROR(GOOGLETRANSLATE('Business Rule &amp; Permission'!B58,""en"",""vi""),'Business Rule &amp; Permission'!B58))"),"Trí tuệ nhân tạo / Tài chính")</f>
        <v>Trí tuệ nhân tạo / Tài chính</v>
      </c>
      <c r="C51" s="42" t="str">
        <f>IFERROR(__xludf.DUMMYFUNCTION("IF('Business Rule &amp; Permission'!C58="""","""",IFERROR(GOOGLETRANSLATE('Business Rule &amp; Permission'!C58,""en"",""vi""),'Business Rule &amp; Permission'!C58))"),"Trí tuệ nhân tạo trong lĩnh vực tài chính chỉ tóm tắt và đưa ra gợi ý; nó không thể tự động thay đổi ngân sách, sổ sách kế toán, phần thưởng hoặc trạng thái khẩn cấp.")</f>
        <v>Trí tuệ nhân tạo trong lĩnh vực tài chính chỉ tóm tắt và đưa ra gợi ý; nó không thể tự động thay đổi ngân sách, sổ sách kế toán, phần thưởng hoặc trạng thái khẩn cấp.</v>
      </c>
      <c r="D51" s="42" t="str">
        <f>IFERROR(__xludf.DUMMYFUNCTION("IF('Business Rule &amp; Permission'!D58="""","""",IFERROR(GOOGLETRANSLATE('Business Rule &amp; Permission'!D58,""en"",""vi""),'Business Rule &amp; Permission'!D58))"),"Trợ lý AI, Hệ thống")</f>
        <v>Trợ lý AI, Hệ thống</v>
      </c>
      <c r="E51" s="42" t="str">
        <f>IF('Business Rule &amp; Permission'!E58="","",SWITCH('Business Rule &amp; Permission'!E58,"Yes","Có","No","Không","N/A","Không áp dụng","Can view/manage shared part if delegated","Có thể xem/quản lý phần dùng chung nếu được ủy quyền",'Business Rule &amp; Permission'!E58))</f>
        <v>Không</v>
      </c>
      <c r="F51" s="42" t="str">
        <f>IF('Business Rule &amp; Permission'!F58="","",'Business Rule &amp; Permission'!F58)</f>
        <v>UC65-UC68</v>
      </c>
      <c r="G51" s="42" t="str">
        <f>IFERROR(__xludf.DUMMYFUNCTION("IF('Business Rule &amp; Permission'!G58="""","""",IFERROR(GOOGLETRANSLATE('Business Rule &amp; Permission'!G58,""en"",""vi""),'Business Rule &amp; Permission'!G58))"),"Trí tuệ nhân tạo / Tài chính")</f>
        <v>Trí tuệ nhân tạo / Tài chính</v>
      </c>
      <c r="H51" s="42" t="str">
        <f>IF('Business Rule &amp; Permission'!H58="","",SWITCH('Business Rule &amp; Permission'!H58,"Must-have","Bắt buộc","Should-have","Nên có","Could-have","Có thể có",'Business Rule &amp; Permission'!H58))</f>
        <v>Bắt buộc</v>
      </c>
      <c r="I51" s="42" t="str">
        <f>IF('Business Rule &amp; Permission'!I58="","",SWITCH('Business Rule &amp; Permission'!I58,"Not Started","Chưa bắt đầu","In Progress","Đang làm","Done","Hoàn thành",'Business Rule &amp; Permission'!I58))</f>
        <v>Chưa bắt đầu</v>
      </c>
      <c r="J51" s="42" t="str">
        <f>IFERROR(__xludf.DUMMYFUNCTION("IF('Business Rule &amp; Permission'!J58="""","""",IFERROR(GOOGLETRANSLATE('Business Rule &amp; Permission'!J58,""en"",""vi""),'Business Rule &amp; Permission'!J58))"),"Giữ lại trí tuệ nhân tạo (AI) như một tính năng tư vấn.")</f>
        <v>Giữ lại trí tuệ nhân tạo (AI) như một tính năng tư vấn.</v>
      </c>
    </row>
    <row r="52">
      <c r="A52" s="42" t="str">
        <f>IF('Business Rule &amp; Permission'!A67="","",'Business Rule &amp; Permission'!A67)</f>
        <v>BR-CAL-01</v>
      </c>
      <c r="B52" s="42" t="str">
        <f>IFERROR(__xludf.DUMMYFUNCTION("IF('Business Rule &amp; Permission'!B67="""","""",IFERROR(GOOGLETRANSLATE('Business Rule &amp; Permission'!B67,""en"",""vi""),'Business Rule &amp; Permission'!B67))"),"Lịch")</f>
        <v>Lịch</v>
      </c>
      <c r="C52" s="42" t="str">
        <f>IFERROR(__xludf.DUMMYFUNCTION("IF('Business Rule &amp; Permission'!C67="""","""",IFERROR(GOOGLETRANSLATE('Business Rule &amp; Permission'!C67,""en"",""vi""),'Business Rule &amp; Permission'!C67))"),"Các sự kiện trong lịch gia đình được chia sẻ trong cùng một Không gian làm việc gia đình và có thể được quản lý bởi Người quản lý gia đình hoặc Người phó được ủy quyền.")</f>
        <v>Các sự kiện trong lịch gia đình được chia sẻ trong cùng một Không gian làm việc gia đình và có thể được quản lý bởi Người quản lý gia đình hoặc Người phó được ủy quyền.</v>
      </c>
      <c r="D52" s="42" t="str">
        <f>IFERROR(__xludf.DUMMYFUNCTION("IF('Business Rule &amp; Permission'!D67="""","""",IFERROR(GOOGLETRANSLATE('Business Rule &amp; Permission'!D67,""en"",""vi""),'Business Rule &amp; Permission'!D67))"),"Quản gia, Phó quản gia, Tất cả các thành viên trong gia đình")</f>
        <v>Quản gia, Phó quản gia, Tất cả các thành viên trong gia đình</v>
      </c>
      <c r="E52" s="42" t="str">
        <f>IF('Business Rule &amp; Permission'!E67="","",SWITCH('Business Rule &amp; Permission'!E67,"Yes","Có","No","Không","N/A","Không áp dụng","Can view/manage shared part if delegated","Có thể xem/quản lý phần dùng chung nếu được ủy quyền",'Business Rule &amp; Permission'!E67))</f>
        <v>Có</v>
      </c>
      <c r="F52" s="42" t="str">
        <f>IF('Business Rule &amp; Permission'!F67="","",'Business Rule &amp; Permission'!F67)</f>
        <v>UC70, UC71</v>
      </c>
      <c r="G52" s="42" t="str">
        <f>IFERROR(__xludf.DUMMYFUNCTION("IF('Business Rule &amp; Permission'!G67="""","""",IFERROR(GOOGLETRANSLATE('Business Rule &amp; Permission'!G67,""en"",""vi""),'Business Rule &amp; Permission'!G67))"),"Lịch")</f>
        <v>Lịch</v>
      </c>
      <c r="H52" s="42" t="str">
        <f>IF('Business Rule &amp; Permission'!H67="","",SWITCH('Business Rule &amp; Permission'!H67,"Must-have","Bắt buộc","Should-have","Nên có","Could-have","Có thể có",'Business Rule &amp; Permission'!H67))</f>
        <v>Bắt buộc</v>
      </c>
      <c r="I52" s="42" t="str">
        <f>IF('Business Rule &amp; Permission'!I67="","",SWITCH('Business Rule &amp; Permission'!I67,"Not Started","Chưa bắt đầu","In Progress","Đang làm","Done","Hoàn thành",'Business Rule &amp; Permission'!I67))</f>
        <v>Chưa bắt đầu</v>
      </c>
      <c r="J52" s="42" t="str">
        <f>IFERROR(__xludf.DUMMYFUNCTION("IF('Business Rule &amp; Permission'!J67="""","""",IFERROR(GOOGLETRANSLATE('Business Rule &amp; Permission'!J67,""en"",""vi""),'Business Rule &amp; Permission'!J67))"),"Tất cả thành viên đều có thể xem; việc tạo/chỉnh sửa phụ thuộc vào quyền hạn.")</f>
        <v>Tất cả thành viên đều có thể xem; việc tạo/chỉnh sửa phụ thuộc vào quyền hạn.</v>
      </c>
    </row>
    <row r="53">
      <c r="A53" s="42" t="str">
        <f>IF('Business Rule &amp; Permission'!A68="","",'Business Rule &amp; Permission'!A68)</f>
        <v>BR-ALB-01</v>
      </c>
      <c r="B53" s="42" t="str">
        <f>IFERROR(__xludf.DUMMYFUNCTION("IF('Business Rule &amp; Permission'!B68="""","""",IFERROR(GOOGLETRANSLATE('Business Rule &amp; Permission'!B68,""en"",""vi""),'Business Rule &amp; Permission'!B68))"),"Album")</f>
        <v>Album</v>
      </c>
      <c r="C53" s="42" t="str">
        <f>IFERROR(__xludf.DUMMYFUNCTION("IF('Business Rule &amp; Permission'!C68="""","""",IFERROR(GOOGLETRANSLATE('Business Rule &amp; Permission'!C68,""en"",""vi""),'Business Rule &amp; Permission'!C68))"),"Các phương tiện truyền thông trong album ảnh gia đình được chia sẻ chỉ hiển thị trong cùng một Không gian làm việc gia đình theo quyền cho phép.")</f>
        <v>Các phương tiện truyền thông trong album ảnh gia đình được chia sẻ chỉ hiển thị trong cùng một Không gian làm việc gia đình theo quyền cho phép.</v>
      </c>
      <c r="D53" s="42" t="str">
        <f>IFERROR(__xludf.DUMMYFUNCTION("IF('Business Rule &amp; Permission'!D68="""","""",IFERROR(GOOGLETRANSLATE('Business Rule &amp; Permission'!D68,""en"",""vi""),'Business Rule &amp; Permission'!D68))"),"Tất cả các thành viên trong gia đình")</f>
        <v>Tất cả các thành viên trong gia đình</v>
      </c>
      <c r="E53" s="42" t="str">
        <f>IF('Business Rule &amp; Permission'!E68="","",SWITCH('Business Rule &amp; Permission'!E68,"Yes","Có","No","Không","N/A","Không áp dụng","Can view/manage shared part if delegated","Có thể xem/quản lý phần dùng chung nếu được ủy quyền",'Business Rule &amp; Permission'!E68))</f>
        <v>Không</v>
      </c>
      <c r="F53" s="42" t="str">
        <f>IF('Business Rule &amp; Permission'!F68="","",'Business Rule &amp; Permission'!F68)</f>
        <v>UC72, UC73, UC74</v>
      </c>
      <c r="G53" s="42" t="str">
        <f>IFERROR(__xludf.DUMMYFUNCTION("IF('Business Rule &amp; Permission'!G68="""","""",IFERROR(GOOGLETRANSLATE('Business Rule &amp; Permission'!G68,""en"",""vi""),'Business Rule &amp; Permission'!G68))"),"Album")</f>
        <v>Album</v>
      </c>
      <c r="H53" s="42" t="str">
        <f>IF('Business Rule &amp; Permission'!H68="","",SWITCH('Business Rule &amp; Permission'!H68,"Must-have","Bắt buộc","Should-have","Nên có","Could-have","Có thể có",'Business Rule &amp; Permission'!H68))</f>
        <v>Bắt buộc</v>
      </c>
      <c r="I53" s="42" t="str">
        <f>IF('Business Rule &amp; Permission'!I68="","",SWITCH('Business Rule &amp; Permission'!I68,"Not Started","Chưa bắt đầu","In Progress","Đang làm","Done","Hoàn thành",'Business Rule &amp; Permission'!I68))</f>
        <v>Chưa bắt đầu</v>
      </c>
      <c r="J53" s="42" t="str">
        <f>IFERROR(__xludf.DUMMYFUNCTION("IF('Business Rule &amp; Permission'!J68="""","""",IFERROR(GOOGLETRANSLATE('Business Rule &amp; Permission'!J68,""en"",""vi""),'Business Rule &amp; Permission'!J68))"),"Chức năng tải lên/xem album cơ bản vẫn được hỗ trợ.")</f>
        <v>Chức năng tải lên/xem album cơ bản vẫn được hỗ trợ.</v>
      </c>
    </row>
    <row r="54">
      <c r="A54" s="42" t="str">
        <f>IF('Business Rule &amp; Permission'!A69="","",'Business Rule &amp; Permission'!A69)</f>
        <v>BR-ALB-02</v>
      </c>
      <c r="B54" s="42" t="str">
        <f>IFERROR(__xludf.DUMMYFUNCTION("IF('Business Rule &amp; Permission'!B69="""","""",IFERROR(GOOGLETRANSLATE('Business Rule &amp; Permission'!B69,""en"",""vi""),'Business Rule &amp; Permission'!B69))"),"Album / AI")</f>
        <v>Album / AI</v>
      </c>
      <c r="C54" s="42" t="str">
        <f>IFERROR(__xludf.DUMMYFUNCTION("IF('Business Rule &amp; Permission'!C69="""","""",IFERROR(GOOGLETRANSLATE('Business Rule &amp; Permission'!C69,""en"",""vi""),'Business Rule &amp; Permission'!C69))"),"Tính năng phân nhóm khuôn mặt không bắt buộc đối với phiên bản MVP; đây là tính năng sẽ được nâng cấp trong tương lai hoặc chỉ có trong bản demo.")</f>
        <v>Tính năng phân nhóm khuôn mặt không bắt buộc đối với phiên bản MVP; đây là tính năng sẽ được nâng cấp trong tương lai hoặc chỉ có trong bản demo.</v>
      </c>
      <c r="D54" s="42" t="str">
        <f>IFERROR(__xludf.DUMMYFUNCTION("IF('Business Rule &amp; Permission'!D69="""","""",IFERROR(GOOGLETRANSLATE('Business Rule &amp; Permission'!D69,""en"",""vi""),'Business Rule &amp; Permission'!D69))"),"Hệ thống, Tất cả các thành viên gia đình")</f>
        <v>Hệ thống, Tất cả các thành viên gia đình</v>
      </c>
      <c r="E54" s="42" t="str">
        <f>IF('Business Rule &amp; Permission'!E69="","",SWITCH('Business Rule &amp; Permission'!E69,"Yes","Có","No","Không","N/A","Không áp dụng","Can view/manage shared part if delegated","Có thể xem/quản lý phần dùng chung nếu được ủy quyền",'Business Rule &amp; Permission'!E69))</f>
        <v>Không</v>
      </c>
      <c r="F54" s="42" t="str">
        <f>IF('Business Rule &amp; Permission'!F69="","",'Business Rule &amp; Permission'!F69)</f>
        <v>UC74, UC75</v>
      </c>
      <c r="G54" s="42" t="str">
        <f>IFERROR(__xludf.DUMMYFUNCTION("IF('Business Rule &amp; Permission'!G69="""","""",IFERROR(GOOGLETRANSLATE('Business Rule &amp; Permission'!G69,""en"",""vi""),'Business Rule &amp; Permission'!G69))"),"Album / AI")</f>
        <v>Album / AI</v>
      </c>
      <c r="H54" s="42" t="str">
        <f>IF('Business Rule &amp; Permission'!H69="","",SWITCH('Business Rule &amp; Permission'!H69,"Must-have","Bắt buộc","Should-have","Nên có","Could-have","Có thể có",'Business Rule &amp; Permission'!H69))</f>
        <v>Có thể có</v>
      </c>
      <c r="I54" s="42" t="str">
        <f>IF('Business Rule &amp; Permission'!I69="","",SWITCH('Business Rule &amp; Permission'!I69,"Not Started","Chưa bắt đầu","In Progress","Đang làm","Done","Hoàn thành",'Business Rule &amp; Permission'!I69))</f>
        <v>Chưa bắt đầu</v>
      </c>
      <c r="J54" s="42" t="str">
        <f>IFERROR(__xludf.DUMMYFUNCTION("IF('Business Rule &amp; Permission'!J69="""","""",IFERROR(GOOGLETRANSLATE('Business Rule &amp; Permission'!J69,""en"",""vi""),'Business Rule &amp; Permission'!J69))"),"MVP tập trung vào album chia sẻ và tính năng gắn thẻ thủ công tùy chọn.")</f>
        <v>MVP tập trung vào album chia sẻ và tính năng gắn thẻ thủ công tùy chọn.</v>
      </c>
    </row>
    <row r="55">
      <c r="A55" s="42" t="str">
        <f>IF('Business Rule &amp; Permission'!A70="","",'Business Rule &amp; Permission'!A70)</f>
        <v>BR-ADM-01</v>
      </c>
      <c r="B55" s="42" t="str">
        <f>IFERROR(__xludf.DUMMYFUNCTION("IF('Business Rule &amp; Permission'!B70="""","""",IFERROR(GOOGLETRANSLATE('Business Rule &amp; Permission'!B70,""en"",""vi""),'Business Rule &amp; Permission'!B70))"),"Quản trị viên")</f>
        <v>Quản trị viên</v>
      </c>
      <c r="C55" s="42" t="str">
        <f>IFERROR(__xludf.DUMMYFUNCTION("IF('Business Rule &amp; Permission'!C70="""","""",IFERROR(GOOGLETRANSLATE('Business Rule &amp; Permission'!C70,""en"",""vi""),'Business Rule &amp; Permission'!C70))"),"Trang quản trị chỉ có sẵn trên web.")</f>
        <v>Trang quản trị chỉ có sẵn trên web.</v>
      </c>
      <c r="D55" s="42" t="str">
        <f>IFERROR(__xludf.DUMMYFUNCTION("IF('Business Rule &amp; Permission'!D70="""","""",IFERROR(GOOGLETRANSLATE('Business Rule &amp; Permission'!D70,""en"",""vi""),'Business Rule &amp; Permission'!D70))"),"Quản trị viên")</f>
        <v>Quản trị viên</v>
      </c>
      <c r="E55" s="42" t="str">
        <f>IF('Business Rule &amp; Permission'!E70="","",SWITCH('Business Rule &amp; Permission'!E70,"Yes","Có","No","Không","N/A","Không áp dụng","Can view/manage shared part if delegated","Có thể xem/quản lý phần dùng chung nếu được ủy quyền",'Business Rule &amp; Permission'!E70))</f>
        <v>Không</v>
      </c>
      <c r="F55" s="42" t="str">
        <f>IF('Business Rule &amp; Permission'!F70="","",'Business Rule &amp; Permission'!F70)</f>
        <v>UC01-UC08</v>
      </c>
      <c r="G55" s="42" t="str">
        <f>IFERROR(__xludf.DUMMYFUNCTION("IF('Business Rule &amp; Permission'!G70="""","""",IFERROR(GOOGLETRANSLATE('Business Rule &amp; Permission'!G70,""en"",""vi""),'Business Rule &amp; Permission'!G70))"),"Quản trị viên")</f>
        <v>Quản trị viên</v>
      </c>
      <c r="H55" s="42" t="str">
        <f>IF('Business Rule &amp; Permission'!H70="","",SWITCH('Business Rule &amp; Permission'!H70,"Must-have","Bắt buộc","Should-have","Nên có","Could-have","Có thể có",'Business Rule &amp; Permission'!H70))</f>
        <v>Bắt buộc</v>
      </c>
      <c r="I55" s="42" t="str">
        <f>IF('Business Rule &amp; Permission'!I70="","",SWITCH('Business Rule &amp; Permission'!I70,"Not Started","Chưa bắt đầu","In Progress","Đang làm","Done","Hoàn thành",'Business Rule &amp; Permission'!I70))</f>
        <v>Chưa bắt đầu</v>
      </c>
      <c r="J55" s="42" t="str">
        <f>IFERROR(__xludf.DUMMYFUNCTION("IF('Business Rule &amp; Permission'!J70="""","""",IFERROR(GOOGLETRANSLATE('Business Rule &amp; Permission'!J70,""en"",""vi""),'Business Rule &amp; Permission'!J70))"),"Không có ứng dụng quản trị trên điện thoại di động.")</f>
        <v>Không có ứng dụng quản trị trên điện thoại di động.</v>
      </c>
    </row>
    <row r="56">
      <c r="A56" s="42" t="str">
        <f>IF('Business Rule &amp; Permission'!A71="","",'Business Rule &amp; Permission'!A71)</f>
        <v>BR-DEP-01</v>
      </c>
      <c r="B56" s="42" t="str">
        <f>IFERROR(__xludf.DUMMYFUNCTION("IF('Business Rule &amp; Permission'!B71="""","""",IFERROR(GOOGLETRANSLATE('Business Rule &amp; Permission'!B71,""en"",""vi""),'Business Rule &amp; Permission'!B71))"),"Triển khai")</f>
        <v>Triển khai</v>
      </c>
      <c r="C56" s="42" t="str">
        <f>IFERROR(__xludf.DUMMYFUNCTION("IF('Business Rule &amp; Permission'!C71="""","""",IFERROR(GOOGLETRANSLATE('Business Rule &amp; Permission'!C71,""en"",""vi""),'Business Rule &amp; Permission'!C71))"),"Docker chỉ được sử dụng cho việc triển khai cục bộ/thử nghiệm với Docker Desktop / Docker Compose.")</f>
        <v>Docker chỉ được sử dụng cho việc triển khai cục bộ/thử nghiệm với Docker Desktop / Docker Compose.</v>
      </c>
      <c r="D56" s="42" t="str">
        <f>IFERROR(__xludf.DUMMYFUNCTION("IF('Business Rule &amp; Permission'!D71="""","""",IFERROR(GOOGLETRANSLATE('Business Rule &amp; Permission'!D71,""en"",""vi""),'Business Rule &amp; Permission'!D71))"),"Quản trị hệ thống")</f>
        <v>Quản trị hệ thống</v>
      </c>
      <c r="E56" s="42" t="str">
        <f>IF('Business Rule &amp; Permission'!E71="","",SWITCH('Business Rule &amp; Permission'!E71,"Yes","Có","No","Không","N/A","Không áp dụng","Can view/manage shared part if delegated","Có thể xem/quản lý phần dùng chung nếu được ủy quyền",'Business Rule &amp; Permission'!E71))</f>
        <v>Không</v>
      </c>
      <c r="F56" s="42" t="str">
        <f>IF('Business Rule &amp; Permission'!F71="","",'Business Rule &amp; Permission'!F71)</f>
        <v>UC05-UC07</v>
      </c>
      <c r="G56" s="42" t="str">
        <f>IFERROR(__xludf.DUMMYFUNCTION("IF('Business Rule &amp; Permission'!G71="""","""",IFERROR(GOOGLETRANSLATE('Business Rule &amp; Permission'!G71,""en"",""vi""),'Business Rule &amp; Permission'!G71))"),"Bản demo Docker")</f>
        <v>Bản demo Docker</v>
      </c>
      <c r="H56" s="42" t="str">
        <f>IF('Business Rule &amp; Permission'!H71="","",SWITCH('Business Rule &amp; Permission'!H71,"Must-have","Bắt buộc","Should-have","Nên có","Could-have","Có thể có",'Business Rule &amp; Permission'!H71))</f>
        <v>Bắt buộc</v>
      </c>
      <c r="I56" s="42" t="str">
        <f>IF('Business Rule &amp; Permission'!I71="","",SWITCH('Business Rule &amp; Permission'!I71,"Not Started","Chưa bắt đầu","In Progress","Đang làm","Done","Hoàn thành",'Business Rule &amp; Permission'!I71))</f>
        <v>Chưa bắt đầu</v>
      </c>
      <c r="J56" s="42" t="str">
        <f>IFERROR(__xludf.DUMMYFUNCTION("IF('Business Rule &amp; Permission'!J71="""","""",IFERROR(GOOGLETRANSLATE('Business Rule &amp; Permission'!J71,""en"",""vi""),'Business Rule &amp; Permission'!J71))"),"Hiện tại chưa có cơ sở hạ tầng đạt tiêu chuẩn sản xuất nào trong phạm vi dự án.")</f>
        <v>Hiện tại chưa có cơ sở hạ tầng đạt tiêu chuẩn sản xuất nào trong phạm vi dự án.</v>
      </c>
    </row>
    <row r="57">
      <c r="A57" s="42" t="str">
        <f>IF('Business Rule &amp; Permission'!A72="","",'Business Rule &amp; Permission'!A72)</f>
        <v>BR-FUT-01</v>
      </c>
      <c r="B57" s="42" t="str">
        <f>IFERROR(__xludf.DUMMYFUNCTION("IF('Business Rule &amp; Permission'!B72="""","""",IFERROR(GOOGLETRANSLATE('Business Rule &amp; Permission'!B72,""en"",""vi""),'Business Rule &amp; Permission'!B72))"),"Tương lai")</f>
        <v>Tương lai</v>
      </c>
      <c r="C57" s="42" t="str">
        <f>IFERROR(__xludf.DUMMYFUNCTION("IF('Business Rule &amp; Permission'!C72="""","""",IFERROR(GOOGLETRANSLATE('Business Rule &amp; Permission'!C72,""en"",""vi""),'Business Rule &amp; Permission'!C72))"),"Kubernetes, tự động mở rộng quy mô, giám sát CPU/RAM/ổ đĩa và tự động hóa sao lưu/phục hồi là những cải tiến trong tương lai.")</f>
        <v>Kubernetes, tự động mở rộng quy mô, giám sát CPU/RAM/ổ đĩa và tự động hóa sao lưu/phục hồi là những cải tiến trong tương lai.</v>
      </c>
      <c r="D57" s="42" t="str">
        <f>IFERROR(__xludf.DUMMYFUNCTION("IF('Business Rule &amp; Permission'!D72="""","""",IFERROR(GOOGLETRANSLATE('Business Rule &amp; Permission'!D72,""en"",""vi""),'Business Rule &amp; Permission'!D72))"),"Quản trị viên")</f>
        <v>Quản trị viên</v>
      </c>
      <c r="E57" s="42" t="str">
        <f>IF('Business Rule &amp; Permission'!E72="","",SWITCH('Business Rule &amp; Permission'!E72,"Yes","Có","No","Không","N/A","Không áp dụng","Can view/manage shared part if delegated","Có thể xem/quản lý phần dùng chung nếu được ủy quyền",'Business Rule &amp; Permission'!E72))</f>
        <v>Không</v>
      </c>
      <c r="F57" s="42" t="str">
        <f>IF('Business Rule &amp; Permission'!F72="","",'Business Rule &amp; Permission'!F72)</f>
        <v>UC05-UC08</v>
      </c>
      <c r="G57" s="42" t="str">
        <f>IFERROR(__xludf.DUMMYFUNCTION("IF('Business Rule &amp; Permission'!G72="""","""",IFERROR(GOOGLETRANSLATE('Business Rule &amp; Permission'!G72,""en"",""vi""),'Business Rule &amp; Permission'!G72))"),"Tương lai")</f>
        <v>Tương lai</v>
      </c>
      <c r="H57" s="42" t="str">
        <f>IF('Business Rule &amp; Permission'!H72="","",SWITCH('Business Rule &amp; Permission'!H72,"Must-have","Bắt buộc","Should-have","Nên có","Could-have","Có thể có",'Business Rule &amp; Permission'!H72))</f>
        <v>Bắt buộc</v>
      </c>
      <c r="I57" s="42" t="str">
        <f>IF('Business Rule &amp; Permission'!I72="","",SWITCH('Business Rule &amp; Permission'!I72,"Not Started","Chưa bắt đầu","In Progress","Đang làm","Done","Hoàn thành",'Business Rule &amp; Permission'!I72))</f>
        <v>Chưa bắt đầu</v>
      </c>
      <c r="J57" s="42" t="str">
        <f>IFERROR(__xludf.DUMMYFUNCTION("IF('Business Rule &amp; Permission'!J72="""","""",IFERROR(GOOGLETRANSLATE('Business Rule &amp; Permission'!J72,""en"",""vi""),'Business Rule &amp; Permission'!J72))"),"Không nên thực hiện ngay bây giờ.")</f>
        <v>Không nên thực hiện ngay bây giờ.</v>
      </c>
    </row>
    <row r="58">
      <c r="A58" s="42" t="str">
        <f>IF('Business Rule &amp; Permission'!A73="","",'Business Rule &amp; Permission'!A73)</f>
        <v/>
      </c>
      <c r="B58" s="42" t="str">
        <f>IFERROR(__xludf.DUMMYFUNCTION("IF('Business Rule &amp; Permission'!B73="""","""",IFERROR(GOOGLETRANSLATE('Business Rule &amp; Permission'!B73,""en"",""vi""),'Business Rule &amp; Permission'!B73))"),"")</f>
        <v/>
      </c>
      <c r="C58" s="42" t="str">
        <f>IFERROR(__xludf.DUMMYFUNCTION("IF('Business Rule &amp; Permission'!C73="""","""",IFERROR(GOOGLETRANSLATE('Business Rule &amp; Permission'!C73,""en"",""vi""),'Business Rule &amp; Permission'!C73))"),"")</f>
        <v/>
      </c>
      <c r="D58" s="42" t="str">
        <f>IFERROR(__xludf.DUMMYFUNCTION("IF('Business Rule &amp; Permission'!D73="""","""",IFERROR(GOOGLETRANSLATE('Business Rule &amp; Permission'!D73,""en"",""vi""),'Business Rule &amp; Permission'!D73))"),"")</f>
        <v/>
      </c>
      <c r="E58" s="42" t="str">
        <f>IF('Business Rule &amp; Permission'!E73="","",SWITCH('Business Rule &amp; Permission'!E73,"Yes","Có","No","Không","N/A","Không áp dụng","Can view/manage shared part if delegated","Có thể xem/quản lý phần dùng chung nếu được ủy quyền",'Business Rule &amp; Permission'!E73))</f>
        <v/>
      </c>
      <c r="F58" s="42" t="str">
        <f>IF('Business Rule &amp; Permission'!F73="","",'Business Rule &amp; Permission'!F73)</f>
        <v/>
      </c>
      <c r="G58" s="42" t="str">
        <f>IFERROR(__xludf.DUMMYFUNCTION("IF('Business Rule &amp; Permission'!G73="""","""",IFERROR(GOOGLETRANSLATE('Business Rule &amp; Permission'!G73,""en"",""vi""),'Business Rule &amp; Permission'!G73))"),"")</f>
        <v/>
      </c>
      <c r="H58" s="42" t="str">
        <f>IF('Business Rule &amp; Permission'!H73="","",SWITCH('Business Rule &amp; Permission'!H73,"Must-have","Bắt buộc","Should-have","Nên có","Could-have","Có thể có",'Business Rule &amp; Permission'!H73))</f>
        <v/>
      </c>
      <c r="I58" s="42" t="str">
        <f>IF('Business Rule &amp; Permission'!I73="","",SWITCH('Business Rule &amp; Permission'!I73,"Not Started","Chưa bắt đầu","In Progress","Đang làm","Done","Hoàn thành",'Business Rule &amp; Permission'!I73))</f>
        <v/>
      </c>
      <c r="J58" s="42" t="str">
        <f>IFERROR(__xludf.DUMMYFUNCTION("IF('Business Rule &amp; Permission'!J73="""","""",IFERROR(GOOGLETRANSLATE('Business Rule &amp; Permission'!J73,""en"",""vi""),'Business Rule &amp; Permission'!J73))"),"")</f>
        <v/>
      </c>
    </row>
    <row r="59">
      <c r="A59" s="42" t="str">
        <f>IF('Business Rule &amp; Permission'!A74="","",'Business Rule &amp; Permission'!A74)</f>
        <v/>
      </c>
      <c r="B59" s="42" t="str">
        <f>IFERROR(__xludf.DUMMYFUNCTION("IF('Business Rule &amp; Permission'!B74="""","""",IFERROR(GOOGLETRANSLATE('Business Rule &amp; Permission'!B74,""en"",""vi""),'Business Rule &amp; Permission'!B74))"),"")</f>
        <v/>
      </c>
      <c r="C59" s="42" t="str">
        <f>IFERROR(__xludf.DUMMYFUNCTION("IF('Business Rule &amp; Permission'!C74="""","""",IFERROR(GOOGLETRANSLATE('Business Rule &amp; Permission'!C74,""en"",""vi""),'Business Rule &amp; Permission'!C74))"),"")</f>
        <v/>
      </c>
      <c r="D59" s="42" t="str">
        <f>IFERROR(__xludf.DUMMYFUNCTION("IF('Business Rule &amp; Permission'!D74="""","""",IFERROR(GOOGLETRANSLATE('Business Rule &amp; Permission'!D74,""en"",""vi""),'Business Rule &amp; Permission'!D74))"),"")</f>
        <v/>
      </c>
      <c r="E59" s="42" t="str">
        <f>IF('Business Rule &amp; Permission'!E74="","",SWITCH('Business Rule &amp; Permission'!E74,"Yes","Có","No","Không","N/A","Không áp dụng","Can view/manage shared part if delegated","Có thể xem/quản lý phần dùng chung nếu được ủy quyền",'Business Rule &amp; Permission'!E74))</f>
        <v/>
      </c>
      <c r="F59" s="42" t="str">
        <f>IF('Business Rule &amp; Permission'!F74="","",'Business Rule &amp; Permission'!F74)</f>
        <v/>
      </c>
      <c r="G59" s="42" t="str">
        <f>IFERROR(__xludf.DUMMYFUNCTION("IF('Business Rule &amp; Permission'!G74="""","""",IFERROR(GOOGLETRANSLATE('Business Rule &amp; Permission'!G74,""en"",""vi""),'Business Rule &amp; Permission'!G74))"),"")</f>
        <v/>
      </c>
      <c r="H59" s="42" t="str">
        <f>IF('Business Rule &amp; Permission'!H74="","",SWITCH('Business Rule &amp; Permission'!H74,"Must-have","Bắt buộc","Should-have","Nên có","Could-have","Có thể có",'Business Rule &amp; Permission'!H74))</f>
        <v/>
      </c>
      <c r="I59" s="42" t="str">
        <f>IF('Business Rule &amp; Permission'!I74="","",SWITCH('Business Rule &amp; Permission'!I74,"Not Started","Chưa bắt đầu","In Progress","Đang làm","Done","Hoàn thành",'Business Rule &amp; Permission'!I74))</f>
        <v/>
      </c>
      <c r="J59" s="42" t="str">
        <f>IFERROR(__xludf.DUMMYFUNCTION("IF('Business Rule &amp; Permission'!J74="""","""",IFERROR(GOOGLETRANSLATE('Business Rule &amp; Permission'!J74,""en"",""vi""),'Business Rule &amp; Permission'!J74))"),"")</f>
        <v/>
      </c>
    </row>
    <row r="60">
      <c r="A60" s="42" t="str">
        <f>IF('Business Rule &amp; Permission'!A75="","",'Business Rule &amp; Permission'!A75)</f>
        <v>BR-SUB-10</v>
      </c>
      <c r="B60" s="42" t="str">
        <f>IFERROR(__xludf.DUMMYFUNCTION("IF('Business Rule &amp; Permission'!B75="""","""",IFERROR(GOOGLETRANSLATE('Business Rule &amp; Permission'!B75,""en"",""vi""),'Business Rule &amp; Permission'!B75))"),"Đăng ký/Kích hoạt tính năng")</f>
        <v>Đăng ký/Kích hoạt tính năng</v>
      </c>
      <c r="C60" s="42" t="str">
        <f>IFERROR(__xludf.DUMMYFUNCTION("IF('Business Rule &amp; Permission'!C75="""","""",IFERROR(GOOGLETRANSLATE('Business Rule &amp; Permission'!C75,""en"",""vi""),'Business Rule &amp; Permission'!C75))"),"Sau khi thanh toán nâng cấp thành công, các tính năng Premium sẽ được kích hoạt ngay lập tức trong khi ngày hết hạn của gói đăng ký ban đầu vẫn không thay đổi.")</f>
        <v>Sau khi thanh toán nâng cấp thành công, các tính năng Premium sẽ được kích hoạt ngay lập tức trong khi ngày hết hạn của gói đăng ký ban đầu vẫn không thay đổi.</v>
      </c>
      <c r="D60" s="42" t="str">
        <f>IFERROR(__xludf.DUMMYFUNCTION("IF('Business Rule &amp; Permission'!D75="""","""",IFERROR(GOOGLETRANSLATE('Business Rule &amp; Permission'!D75,""en"",""vi""),'Business Rule &amp; Permission'!D75))"),"Quản lý gia đình, Hệ thống")</f>
        <v>Quản lý gia đình, Hệ thống</v>
      </c>
      <c r="E60" s="42" t="str">
        <f>IF('Business Rule &amp; Permission'!E75="","",SWITCH('Business Rule &amp; Permission'!E75,"Yes","Có","No","Không","N/A","Không áp dụng","Can view/manage shared part if delegated","Có thể xem/quản lý phần dùng chung nếu được ủy quyền",'Business Rule &amp; Permission'!E75))</f>
        <v>Không</v>
      </c>
      <c r="F60" s="42" t="str">
        <f>IF('Business Rule &amp; Permission'!F75="","",'Business Rule &amp; Permission'!F75)</f>
        <v>UC76, UC77</v>
      </c>
      <c r="G60" s="42" t="str">
        <f>IFERROR(__xludf.DUMMYFUNCTION("IF('Business Rule &amp; Permission'!G75="""","""",IFERROR(GOOGLETRANSLATE('Business Rule &amp; Permission'!G75,""en"",""vi""),'Business Rule &amp; Permission'!G75))"),"Đăng ký/Truy cập tính năng")</f>
        <v>Đăng ký/Truy cập tính năng</v>
      </c>
      <c r="H60" s="42" t="str">
        <f>IF('Business Rule &amp; Permission'!H75="","",SWITCH('Business Rule &amp; Permission'!H75,"Must-have","Bắt buộc","Should-have","Nên có","Could-have","Có thể có",'Business Rule &amp; Permission'!H75))</f>
        <v>Bắt buộc</v>
      </c>
      <c r="I60" s="42" t="str">
        <f>IF('Business Rule &amp; Permission'!I75="","",SWITCH('Business Rule &amp; Permission'!I75,"Not Started","Chưa bắt đầu","In Progress","Đang làm","Done","Hoàn thành",'Business Rule &amp; Permission'!I75))</f>
        <v>Chưa bắt đầu</v>
      </c>
      <c r="J60" s="42" t="str">
        <f>IFERROR(__xludf.DUMMYFUNCTION("IF('Business Rule &amp; Permission'!J75="""","""",IFERROR(GOOGLETRANSLATE('Business Rule &amp; Permission'!J75,""en"",""vi""),'Business Rule &amp; Permission'!J75))"),"Lần gia hạn tiếp theo sẽ sử dụng mức giá hàng năm của gói Premium.")</f>
        <v>Lần gia hạn tiếp theo sẽ sử dụng mức giá hàng năm của gói Premium.</v>
      </c>
    </row>
    <row r="61">
      <c r="A61" s="42" t="str">
        <f>IF('Business Rule &amp; Permission'!A76="","",'Business Rule &amp; Permission'!A76)</f>
        <v/>
      </c>
      <c r="B61" s="42" t="str">
        <f>IFERROR(__xludf.DUMMYFUNCTION("IF('Business Rule &amp; Permission'!B76="""","""",IFERROR(GOOGLETRANSLATE('Business Rule &amp; Permission'!B76,""en"",""vi""),'Business Rule &amp; Permission'!B76))"),"")</f>
        <v/>
      </c>
      <c r="C61" s="42" t="str">
        <f>IFERROR(__xludf.DUMMYFUNCTION("IF('Business Rule &amp; Permission'!C76="""","""",IFERROR(GOOGLETRANSLATE('Business Rule &amp; Permission'!C76,""en"",""vi""),'Business Rule &amp; Permission'!C76))"),"")</f>
        <v/>
      </c>
      <c r="D61" s="42" t="str">
        <f>IFERROR(__xludf.DUMMYFUNCTION("IF('Business Rule &amp; Permission'!D76="""","""",IFERROR(GOOGLETRANSLATE('Business Rule &amp; Permission'!D76,""en"",""vi""),'Business Rule &amp; Permission'!D76))"),"")</f>
        <v/>
      </c>
      <c r="E61" s="42" t="str">
        <f>IF('Business Rule &amp; Permission'!E76="","",SWITCH('Business Rule &amp; Permission'!E76,"Yes","Có","No","Không","N/A","Không áp dụng","Can view/manage shared part if delegated","Có thể xem/quản lý phần dùng chung nếu được ủy quyền",'Business Rule &amp; Permission'!E76))</f>
        <v/>
      </c>
      <c r="F61" s="42" t="str">
        <f>IF('Business Rule &amp; Permission'!F76="","",'Business Rule &amp; Permission'!F76)</f>
        <v/>
      </c>
      <c r="G61" s="42" t="str">
        <f>IFERROR(__xludf.DUMMYFUNCTION("IF('Business Rule &amp; Permission'!G76="""","""",IFERROR(GOOGLETRANSLATE('Business Rule &amp; Permission'!G76,""en"",""vi""),'Business Rule &amp; Permission'!G76))"),"")</f>
        <v/>
      </c>
      <c r="H61" s="42" t="str">
        <f>IF('Business Rule &amp; Permission'!H76="","",SWITCH('Business Rule &amp; Permission'!H76,"Must-have","Bắt buộc","Should-have","Nên có","Could-have","Có thể có",'Business Rule &amp; Permission'!H76))</f>
        <v/>
      </c>
      <c r="I61" s="42" t="str">
        <f>IF('Business Rule &amp; Permission'!I76="","",SWITCH('Business Rule &amp; Permission'!I76,"Not Started","Chưa bắt đầu","In Progress","Đang làm","Done","Hoàn thành",'Business Rule &amp; Permission'!I76))</f>
        <v/>
      </c>
      <c r="J61" s="42" t="str">
        <f>IFERROR(__xludf.DUMMYFUNCTION("IF('Business Rule &amp; Permission'!J76="""","""",IFERROR(GOOGLETRANSLATE('Business Rule &amp; Permission'!J76,""en"",""vi""),'Business Rule &amp; Permission'!J76))"),"")</f>
        <v/>
      </c>
    </row>
    <row r="62">
      <c r="A62" s="42" t="str">
        <f>IF('Business Rule &amp; Permission'!A77="","",'Business Rule &amp; Permission'!A77)</f>
        <v/>
      </c>
      <c r="B62" s="42" t="str">
        <f>IFERROR(__xludf.DUMMYFUNCTION("IF('Business Rule &amp; Permission'!B77="""","""",IFERROR(GOOGLETRANSLATE('Business Rule &amp; Permission'!B77,""en"",""vi""),'Business Rule &amp; Permission'!B77))"),"")</f>
        <v/>
      </c>
      <c r="C62" s="42" t="str">
        <f>IFERROR(__xludf.DUMMYFUNCTION("IF('Business Rule &amp; Permission'!C77="""","""",IFERROR(GOOGLETRANSLATE('Business Rule &amp; Permission'!C77,""en"",""vi""),'Business Rule &amp; Permission'!C77))"),"")</f>
        <v/>
      </c>
      <c r="D62" s="42" t="str">
        <f>IFERROR(__xludf.DUMMYFUNCTION("IF('Business Rule &amp; Permission'!D77="""","""",IFERROR(GOOGLETRANSLATE('Business Rule &amp; Permission'!D77,""en"",""vi""),'Business Rule &amp; Permission'!D77))"),"")</f>
        <v/>
      </c>
      <c r="E62" s="42" t="str">
        <f>IF('Business Rule &amp; Permission'!E77="","",SWITCH('Business Rule &amp; Permission'!E77,"Yes","Có","No","Không","N/A","Không áp dụng","Can view/manage shared part if delegated","Có thể xem/quản lý phần dùng chung nếu được ủy quyền",'Business Rule &amp; Permission'!E77))</f>
        <v/>
      </c>
      <c r="F62" s="42" t="str">
        <f>IF('Business Rule &amp; Permission'!F77="","",'Business Rule &amp; Permission'!F77)</f>
        <v/>
      </c>
      <c r="G62" s="42" t="str">
        <f>IFERROR(__xludf.DUMMYFUNCTION("IF('Business Rule &amp; Permission'!G77="""","""",IFERROR(GOOGLETRANSLATE('Business Rule &amp; Permission'!G77,""en"",""vi""),'Business Rule &amp; Permission'!G77))"),"")</f>
        <v/>
      </c>
      <c r="H62" s="42" t="str">
        <f>IF('Business Rule &amp; Permission'!H77="","",SWITCH('Business Rule &amp; Permission'!H77,"Must-have","Bắt buộc","Should-have","Nên có","Could-have","Có thể có",'Business Rule &amp; Permission'!H77))</f>
        <v/>
      </c>
      <c r="I62" s="42" t="str">
        <f>IF('Business Rule &amp; Permission'!I77="","",SWITCH('Business Rule &amp; Permission'!I77,"Not Started","Chưa bắt đầu","In Progress","Đang làm","Done","Hoàn thành",'Business Rule &amp; Permission'!I77))</f>
        <v/>
      </c>
      <c r="J62" s="42" t="str">
        <f>IFERROR(__xludf.DUMMYFUNCTION("IF('Business Rule &amp; Permission'!J77="""","""",IFERROR(GOOGLETRANSLATE('Business Rule &amp; Permission'!J77,""en"",""vi""),'Business Rule &amp; Permission'!J77))"),"")</f>
        <v/>
      </c>
    </row>
    <row r="63">
      <c r="A63" s="42" t="str">
        <f>IF('Business Rule &amp; Permission'!A78="","",'Business Rule &amp; Permission'!A78)</f>
        <v/>
      </c>
      <c r="B63" s="42" t="str">
        <f>IFERROR(__xludf.DUMMYFUNCTION("IF('Business Rule &amp; Permission'!B78="""","""",IFERROR(GOOGLETRANSLATE('Business Rule &amp; Permission'!B78,""en"",""vi""),'Business Rule &amp; Permission'!B78))"),"")</f>
        <v/>
      </c>
      <c r="C63" s="42" t="str">
        <f>IFERROR(__xludf.DUMMYFUNCTION("IF('Business Rule &amp; Permission'!C78="""","""",IFERROR(GOOGLETRANSLATE('Business Rule &amp; Permission'!C78,""en"",""vi""),'Business Rule &amp; Permission'!C78))"),"")</f>
        <v/>
      </c>
      <c r="D63" s="42" t="str">
        <f>IFERROR(__xludf.DUMMYFUNCTION("IF('Business Rule &amp; Permission'!D78="""","""",IFERROR(GOOGLETRANSLATE('Business Rule &amp; Permission'!D78,""en"",""vi""),'Business Rule &amp; Permission'!D78))"),"")</f>
        <v/>
      </c>
      <c r="E63" s="42" t="str">
        <f>IF('Business Rule &amp; Permission'!E78="","",SWITCH('Business Rule &amp; Permission'!E78,"Yes","Có","No","Không","N/A","Không áp dụng","Can view/manage shared part if delegated","Có thể xem/quản lý phần dùng chung nếu được ủy quyền",'Business Rule &amp; Permission'!E78))</f>
        <v/>
      </c>
      <c r="F63" s="42" t="str">
        <f>IF('Business Rule &amp; Permission'!F78="","",'Business Rule &amp; Permission'!F78)</f>
        <v/>
      </c>
      <c r="G63" s="42" t="str">
        <f>IFERROR(__xludf.DUMMYFUNCTION("IF('Business Rule &amp; Permission'!G78="""","""",IFERROR(GOOGLETRANSLATE('Business Rule &amp; Permission'!G78,""en"",""vi""),'Business Rule &amp; Permission'!G78))"),"")</f>
        <v/>
      </c>
      <c r="H63" s="42" t="str">
        <f>IF('Business Rule &amp; Permission'!H78="","",SWITCH('Business Rule &amp; Permission'!H78,"Must-have","Bắt buộc","Should-have","Nên có","Could-have","Có thể có",'Business Rule &amp; Permission'!H78))</f>
        <v/>
      </c>
      <c r="I63" s="42" t="str">
        <f>IF('Business Rule &amp; Permission'!I78="","",SWITCH('Business Rule &amp; Permission'!I78,"Not Started","Chưa bắt đầu","In Progress","Đang làm","Done","Hoàn thành",'Business Rule &amp; Permission'!I78))</f>
        <v/>
      </c>
      <c r="J63" s="42" t="str">
        <f>IFERROR(__xludf.DUMMYFUNCTION("IF('Business Rule &amp; Permission'!J78="""","""",IFERROR(GOOGLETRANSLATE('Business Rule &amp; Permission'!J78,""en"",""vi""),'Business Rule &amp; Permission'!J78))"),"")</f>
        <v/>
      </c>
    </row>
    <row r="64">
      <c r="A64" s="42" t="str">
        <f>IF('Business Rule &amp; Permission'!A79="","",'Business Rule &amp; Permission'!A79)</f>
        <v/>
      </c>
      <c r="B64" s="42" t="str">
        <f>IFERROR(__xludf.DUMMYFUNCTION("IF('Business Rule &amp; Permission'!B79="""","""",IFERROR(GOOGLETRANSLATE('Business Rule &amp; Permission'!B79,""en"",""vi""),'Business Rule &amp; Permission'!B79))"),"")</f>
        <v/>
      </c>
      <c r="C64" s="42" t="str">
        <f>IFERROR(__xludf.DUMMYFUNCTION("IF('Business Rule &amp; Permission'!C79="""","""",IFERROR(GOOGLETRANSLATE('Business Rule &amp; Permission'!C79,""en"",""vi""),'Business Rule &amp; Permission'!C79))"),"")</f>
        <v/>
      </c>
      <c r="D64" s="42" t="str">
        <f>IFERROR(__xludf.DUMMYFUNCTION("IF('Business Rule &amp; Permission'!D79="""","""",IFERROR(GOOGLETRANSLATE('Business Rule &amp; Permission'!D79,""en"",""vi""),'Business Rule &amp; Permission'!D79))"),"")</f>
        <v/>
      </c>
      <c r="E64" s="42" t="str">
        <f>IF('Business Rule &amp; Permission'!E79="","",SWITCH('Business Rule &amp; Permission'!E79,"Yes","Có","No","Không","N/A","Không áp dụng","Can view/manage shared part if delegated","Có thể xem/quản lý phần dùng chung nếu được ủy quyền",'Business Rule &amp; Permission'!E79))</f>
        <v/>
      </c>
      <c r="F64" s="42" t="str">
        <f>IF('Business Rule &amp; Permission'!F79="","",'Business Rule &amp; Permission'!F79)</f>
        <v/>
      </c>
      <c r="G64" s="42" t="str">
        <f>IFERROR(__xludf.DUMMYFUNCTION("IF('Business Rule &amp; Permission'!G79="""","""",IFERROR(GOOGLETRANSLATE('Business Rule &amp; Permission'!G79,""en"",""vi""),'Business Rule &amp; Permission'!G79))"),"")</f>
        <v/>
      </c>
      <c r="H64" s="42" t="str">
        <f>IF('Business Rule &amp; Permission'!H79="","",SWITCH('Business Rule &amp; Permission'!H79,"Must-have","Bắt buộc","Should-have","Nên có","Could-have","Có thể có",'Business Rule &amp; Permission'!H79))</f>
        <v/>
      </c>
      <c r="I64" s="42" t="str">
        <f>IF('Business Rule &amp; Permission'!I79="","",SWITCH('Business Rule &amp; Permission'!I79,"Not Started","Chưa bắt đầu","In Progress","Đang làm","Done","Hoàn thành",'Business Rule &amp; Permission'!I79))</f>
        <v/>
      </c>
      <c r="J64" s="42" t="str">
        <f>IFERROR(__xludf.DUMMYFUNCTION("IF('Business Rule &amp; Permission'!J79="""","""",IFERROR(GOOGLETRANSLATE('Business Rule &amp; Permission'!J79,""en"",""vi""),'Business Rule &amp; Permission'!J79))"),"")</f>
        <v/>
      </c>
    </row>
    <row r="65">
      <c r="A65" s="42" t="str">
        <f>IF('Business Rule &amp; Permission'!A80="","",'Business Rule &amp; Permission'!A80)</f>
        <v/>
      </c>
      <c r="B65" s="42" t="str">
        <f>IFERROR(__xludf.DUMMYFUNCTION("IF('Business Rule &amp; Permission'!B80="""","""",IFERROR(GOOGLETRANSLATE('Business Rule &amp; Permission'!B80,""en"",""vi""),'Business Rule &amp; Permission'!B80))"),"")</f>
        <v/>
      </c>
      <c r="C65" s="42" t="str">
        <f>IFERROR(__xludf.DUMMYFUNCTION("IF('Business Rule &amp; Permission'!C80="""","""",IFERROR(GOOGLETRANSLATE('Business Rule &amp; Permission'!C80,""en"",""vi""),'Business Rule &amp; Permission'!C80))"),"")</f>
        <v/>
      </c>
      <c r="D65" s="42" t="str">
        <f>IFERROR(__xludf.DUMMYFUNCTION("IF('Business Rule &amp; Permission'!D80="""","""",IFERROR(GOOGLETRANSLATE('Business Rule &amp; Permission'!D80,""en"",""vi""),'Business Rule &amp; Permission'!D80))"),"")</f>
        <v/>
      </c>
      <c r="E65" s="42" t="str">
        <f>IF('Business Rule &amp; Permission'!E80="","",SWITCH('Business Rule &amp; Permission'!E80,"Yes","Có","No","Không","N/A","Không áp dụng","Can view/manage shared part if delegated","Có thể xem/quản lý phần dùng chung nếu được ủy quyền",'Business Rule &amp; Permission'!E80))</f>
        <v/>
      </c>
      <c r="F65" s="42" t="str">
        <f>IF('Business Rule &amp; Permission'!F80="","",'Business Rule &amp; Permission'!F80)</f>
        <v/>
      </c>
      <c r="G65" s="42" t="str">
        <f>IFERROR(__xludf.DUMMYFUNCTION("IF('Business Rule &amp; Permission'!G80="""","""",IFERROR(GOOGLETRANSLATE('Business Rule &amp; Permission'!G80,""en"",""vi""),'Business Rule &amp; Permission'!G80))"),"")</f>
        <v/>
      </c>
      <c r="H65" s="42" t="str">
        <f>IF('Business Rule &amp; Permission'!H80="","",SWITCH('Business Rule &amp; Permission'!H80,"Must-have","Bắt buộc","Should-have","Nên có","Could-have","Có thể có",'Business Rule &amp; Permission'!H80))</f>
        <v/>
      </c>
      <c r="I65" s="42" t="str">
        <f>IF('Business Rule &amp; Permission'!I80="","",SWITCH('Business Rule &amp; Permission'!I80,"Not Started","Chưa bắt đầu","In Progress","Đang làm","Done","Hoàn thành",'Business Rule &amp; Permission'!I80))</f>
        <v/>
      </c>
      <c r="J65" s="42" t="str">
        <f>IFERROR(__xludf.DUMMYFUNCTION("IF('Business Rule &amp; Permission'!J80="""","""",IFERROR(GOOGLETRANSLATE('Business Rule &amp; Permission'!J80,""en"",""vi""),'Business Rule &amp; Permission'!J80))"),"")</f>
        <v/>
      </c>
    </row>
    <row r="66">
      <c r="A66" s="42" t="str">
        <f>IF('Business Rule &amp; Permission'!A81="","",'Business Rule &amp; Permission'!A81)</f>
        <v/>
      </c>
      <c r="B66" s="42" t="str">
        <f>IFERROR(__xludf.DUMMYFUNCTION("IF('Business Rule &amp; Permission'!B81="""","""",IFERROR(GOOGLETRANSLATE('Business Rule &amp; Permission'!B81,""en"",""vi""),'Business Rule &amp; Permission'!B81))"),"")</f>
        <v/>
      </c>
      <c r="C66" s="42" t="str">
        <f>IFERROR(__xludf.DUMMYFUNCTION("IF('Business Rule &amp; Permission'!C81="""","""",IFERROR(GOOGLETRANSLATE('Business Rule &amp; Permission'!C81,""en"",""vi""),'Business Rule &amp; Permission'!C81))"),"")</f>
        <v/>
      </c>
      <c r="D66" s="42" t="str">
        <f>IFERROR(__xludf.DUMMYFUNCTION("IF('Business Rule &amp; Permission'!D81="""","""",IFERROR(GOOGLETRANSLATE('Business Rule &amp; Permission'!D81,""en"",""vi""),'Business Rule &amp; Permission'!D81))"),"")</f>
        <v/>
      </c>
      <c r="E66" s="42" t="str">
        <f>IF('Business Rule &amp; Permission'!E81="","",SWITCH('Business Rule &amp; Permission'!E81,"Yes","Có","No","Không","N/A","Không áp dụng","Can view/manage shared part if delegated","Có thể xem/quản lý phần dùng chung nếu được ủy quyền",'Business Rule &amp; Permission'!E81))</f>
        <v/>
      </c>
      <c r="F66" s="42" t="str">
        <f>IF('Business Rule &amp; Permission'!F81="","",'Business Rule &amp; Permission'!F81)</f>
        <v/>
      </c>
      <c r="G66" s="42" t="str">
        <f>IFERROR(__xludf.DUMMYFUNCTION("IF('Business Rule &amp; Permission'!G81="""","""",IFERROR(GOOGLETRANSLATE('Business Rule &amp; Permission'!G81,""en"",""vi""),'Business Rule &amp; Permission'!G81))"),"")</f>
        <v/>
      </c>
      <c r="H66" s="42" t="str">
        <f>IF('Business Rule &amp; Permission'!H81="","",SWITCH('Business Rule &amp; Permission'!H81,"Must-have","Bắt buộc","Should-have","Nên có","Could-have","Có thể có",'Business Rule &amp; Permission'!H81))</f>
        <v/>
      </c>
      <c r="I66" s="42" t="str">
        <f>IF('Business Rule &amp; Permission'!I81="","",SWITCH('Business Rule &amp; Permission'!I81,"Not Started","Chưa bắt đầu","In Progress","Đang làm","Done","Hoàn thành",'Business Rule &amp; Permission'!I81))</f>
        <v/>
      </c>
      <c r="J66" s="42" t="str">
        <f>IFERROR(__xludf.DUMMYFUNCTION("IF('Business Rule &amp; Permission'!J81="""","""",IFERROR(GOOGLETRANSLATE('Business Rule &amp; Permission'!J81,""en"",""vi""),'Business Rule &amp; Permission'!J81))"),"")</f>
        <v/>
      </c>
    </row>
    <row r="67">
      <c r="A67" s="42" t="str">
        <f>IF('Business Rule &amp; Permission'!A82="","",'Business Rule &amp; Permission'!A82)</f>
        <v/>
      </c>
      <c r="B67" s="42" t="str">
        <f>IFERROR(__xludf.DUMMYFUNCTION("IF('Business Rule &amp; Permission'!B82="""","""",IFERROR(GOOGLETRANSLATE('Business Rule &amp; Permission'!B82,""en"",""vi""),'Business Rule &amp; Permission'!B82))"),"")</f>
        <v/>
      </c>
      <c r="C67" s="42" t="str">
        <f>IFERROR(__xludf.DUMMYFUNCTION("IF('Business Rule &amp; Permission'!C82="""","""",IFERROR(GOOGLETRANSLATE('Business Rule &amp; Permission'!C82,""en"",""vi""),'Business Rule &amp; Permission'!C82))"),"")</f>
        <v/>
      </c>
      <c r="D67" s="42" t="str">
        <f>IFERROR(__xludf.DUMMYFUNCTION("IF('Business Rule &amp; Permission'!D82="""","""",IFERROR(GOOGLETRANSLATE('Business Rule &amp; Permission'!D82,""en"",""vi""),'Business Rule &amp; Permission'!D82))"),"")</f>
        <v/>
      </c>
      <c r="E67" s="42" t="str">
        <f>IF('Business Rule &amp; Permission'!E82="","",SWITCH('Business Rule &amp; Permission'!E82,"Yes","Có","No","Không","N/A","Không áp dụng","Can view/manage shared part if delegated","Có thể xem/quản lý phần dùng chung nếu được ủy quyền",'Business Rule &amp; Permission'!E82))</f>
        <v/>
      </c>
      <c r="F67" s="42" t="str">
        <f>IF('Business Rule &amp; Permission'!F82="","",'Business Rule &amp; Permission'!F82)</f>
        <v/>
      </c>
      <c r="G67" s="42" t="str">
        <f>IFERROR(__xludf.DUMMYFUNCTION("IF('Business Rule &amp; Permission'!G82="""","""",IFERROR(GOOGLETRANSLATE('Business Rule &amp; Permission'!G82,""en"",""vi""),'Business Rule &amp; Permission'!G82))"),"")</f>
        <v/>
      </c>
      <c r="H67" s="42" t="str">
        <f>IF('Business Rule &amp; Permission'!H82="","",SWITCH('Business Rule &amp; Permission'!H82,"Must-have","Bắt buộc","Should-have","Nên có","Could-have","Có thể có",'Business Rule &amp; Permission'!H82))</f>
        <v/>
      </c>
      <c r="I67" s="42" t="str">
        <f>IF('Business Rule &amp; Permission'!I82="","",SWITCH('Business Rule &amp; Permission'!I82,"Not Started","Chưa bắt đầu","In Progress","Đang làm","Done","Hoàn thành",'Business Rule &amp; Permission'!I82))</f>
        <v/>
      </c>
      <c r="J67" s="42" t="str">
        <f>IFERROR(__xludf.DUMMYFUNCTION("IF('Business Rule &amp; Permission'!J82="""","""",IFERROR(GOOGLETRANSLATE('Business Rule &amp; Permission'!J82,""en"",""vi""),'Business Rule &amp; Permission'!J82))"),"")</f>
        <v/>
      </c>
    </row>
    <row r="68">
      <c r="A68" s="42" t="str">
        <f>IF('Business Rule &amp; Permission'!A83="","",'Business Rule &amp; Permission'!A83)</f>
        <v/>
      </c>
      <c r="B68" s="42" t="str">
        <f>IFERROR(__xludf.DUMMYFUNCTION("IF('Business Rule &amp; Permission'!B83="""","""",IFERROR(GOOGLETRANSLATE('Business Rule &amp; Permission'!B83,""en"",""vi""),'Business Rule &amp; Permission'!B83))"),"")</f>
        <v/>
      </c>
      <c r="C68" s="42" t="str">
        <f>IFERROR(__xludf.DUMMYFUNCTION("IF('Business Rule &amp; Permission'!C83="""","""",IFERROR(GOOGLETRANSLATE('Business Rule &amp; Permission'!C83,""en"",""vi""),'Business Rule &amp; Permission'!C83))"),"")</f>
        <v/>
      </c>
      <c r="D68" s="42" t="str">
        <f>IFERROR(__xludf.DUMMYFUNCTION("IF('Business Rule &amp; Permission'!D83="""","""",IFERROR(GOOGLETRANSLATE('Business Rule &amp; Permission'!D83,""en"",""vi""),'Business Rule &amp; Permission'!D83))"),"")</f>
        <v/>
      </c>
      <c r="E68" s="42" t="str">
        <f>IF('Business Rule &amp; Permission'!E83="","",SWITCH('Business Rule &amp; Permission'!E83,"Yes","Có","No","Không","N/A","Không áp dụng","Can view/manage shared part if delegated","Có thể xem/quản lý phần dùng chung nếu được ủy quyền",'Business Rule &amp; Permission'!E83))</f>
        <v/>
      </c>
      <c r="F68" s="42" t="str">
        <f>IF('Business Rule &amp; Permission'!F83="","",'Business Rule &amp; Permission'!F83)</f>
        <v/>
      </c>
      <c r="G68" s="42" t="str">
        <f>IFERROR(__xludf.DUMMYFUNCTION("IF('Business Rule &amp; Permission'!G83="""","""",IFERROR(GOOGLETRANSLATE('Business Rule &amp; Permission'!G83,""en"",""vi""),'Business Rule &amp; Permission'!G83))"),"")</f>
        <v/>
      </c>
      <c r="H68" s="42" t="str">
        <f>IF('Business Rule &amp; Permission'!H83="","",SWITCH('Business Rule &amp; Permission'!H83,"Must-have","Bắt buộc","Should-have","Nên có","Could-have","Có thể có",'Business Rule &amp; Permission'!H83))</f>
        <v/>
      </c>
      <c r="I68" s="42" t="str">
        <f>IF('Business Rule &amp; Permission'!I83="","",SWITCH('Business Rule &amp; Permission'!I83,"Not Started","Chưa bắt đầu","In Progress","Đang làm","Done","Hoàn thành",'Business Rule &amp; Permission'!I83))</f>
        <v/>
      </c>
      <c r="J68" s="42" t="str">
        <f>IFERROR(__xludf.DUMMYFUNCTION("IF('Business Rule &amp; Permission'!J83="""","""",IFERROR(GOOGLETRANSLATE('Business Rule &amp; Permission'!J83,""en"",""vi""),'Business Rule &amp; Permission'!J83))"),"")</f>
        <v/>
      </c>
    </row>
    <row r="69">
      <c r="A69" s="42" t="str">
        <f>IF('Business Rule &amp; Permission'!A84="","",'Business Rule &amp; Permission'!A84)</f>
        <v/>
      </c>
      <c r="B69" s="42" t="str">
        <f>IFERROR(__xludf.DUMMYFUNCTION("IF('Business Rule &amp; Permission'!B84="""","""",IFERROR(GOOGLETRANSLATE('Business Rule &amp; Permission'!B84,""en"",""vi""),'Business Rule &amp; Permission'!B84))"),"")</f>
        <v/>
      </c>
      <c r="C69" s="42" t="str">
        <f>IFERROR(__xludf.DUMMYFUNCTION("IF('Business Rule &amp; Permission'!C84="""","""",IFERROR(GOOGLETRANSLATE('Business Rule &amp; Permission'!C84,""en"",""vi""),'Business Rule &amp; Permission'!C84))"),"")</f>
        <v/>
      </c>
      <c r="D69" s="42" t="str">
        <f>IFERROR(__xludf.DUMMYFUNCTION("IF('Business Rule &amp; Permission'!D84="""","""",IFERROR(GOOGLETRANSLATE('Business Rule &amp; Permission'!D84,""en"",""vi""),'Business Rule &amp; Permission'!D84))"),"")</f>
        <v/>
      </c>
      <c r="E69" s="42" t="str">
        <f>IF('Business Rule &amp; Permission'!E84="","",SWITCH('Business Rule &amp; Permission'!E84,"Yes","Có","No","Không","N/A","Không áp dụng","Can view/manage shared part if delegated","Có thể xem/quản lý phần dùng chung nếu được ủy quyền",'Business Rule &amp; Permission'!E84))</f>
        <v/>
      </c>
      <c r="F69" s="42" t="str">
        <f>IF('Business Rule &amp; Permission'!F84="","",'Business Rule &amp; Permission'!F84)</f>
        <v/>
      </c>
      <c r="G69" s="42" t="str">
        <f>IFERROR(__xludf.DUMMYFUNCTION("IF('Business Rule &amp; Permission'!G84="""","""",IFERROR(GOOGLETRANSLATE('Business Rule &amp; Permission'!G84,""en"",""vi""),'Business Rule &amp; Permission'!G84))"),"")</f>
        <v/>
      </c>
      <c r="H69" s="42" t="str">
        <f>IF('Business Rule &amp; Permission'!H84="","",SWITCH('Business Rule &amp; Permission'!H84,"Must-have","Bắt buộc","Should-have","Nên có","Could-have","Có thể có",'Business Rule &amp; Permission'!H84))</f>
        <v/>
      </c>
      <c r="I69" s="42" t="str">
        <f>IF('Business Rule &amp; Permission'!I84="","",SWITCH('Business Rule &amp; Permission'!I84,"Not Started","Chưa bắt đầu","In Progress","Đang làm","Done","Hoàn thành",'Business Rule &amp; Permission'!I84))</f>
        <v/>
      </c>
      <c r="J69" s="42" t="str">
        <f>IFERROR(__xludf.DUMMYFUNCTION("IF('Business Rule &amp; Permission'!J84="""","""",IFERROR(GOOGLETRANSLATE('Business Rule &amp; Permission'!J84,""en"",""vi""),'Business Rule &amp; Permission'!J84))"),"")</f>
        <v/>
      </c>
    </row>
    <row r="70">
      <c r="A70" s="42" t="str">
        <f>IF('Business Rule &amp; Permission'!A85="","",'Business Rule &amp; Permission'!A85)</f>
        <v/>
      </c>
      <c r="B70" s="42" t="str">
        <f>IFERROR(__xludf.DUMMYFUNCTION("IF('Business Rule &amp; Permission'!B85="""","""",IFERROR(GOOGLETRANSLATE('Business Rule &amp; Permission'!B85,""en"",""vi""),'Business Rule &amp; Permission'!B85))"),"")</f>
        <v/>
      </c>
      <c r="C70" s="42" t="str">
        <f>IFERROR(__xludf.DUMMYFUNCTION("IF('Business Rule &amp; Permission'!C85="""","""",IFERROR(GOOGLETRANSLATE('Business Rule &amp; Permission'!C85,""en"",""vi""),'Business Rule &amp; Permission'!C85))"),"")</f>
        <v/>
      </c>
      <c r="D70" s="42" t="str">
        <f>IFERROR(__xludf.DUMMYFUNCTION("IF('Business Rule &amp; Permission'!D85="""","""",IFERROR(GOOGLETRANSLATE('Business Rule &amp; Permission'!D85,""en"",""vi""),'Business Rule &amp; Permission'!D85))"),"")</f>
        <v/>
      </c>
      <c r="E70" s="42" t="str">
        <f>IF('Business Rule &amp; Permission'!E85="","",SWITCH('Business Rule &amp; Permission'!E85,"Yes","Có","No","Không","N/A","Không áp dụng","Can view/manage shared part if delegated","Có thể xem/quản lý phần dùng chung nếu được ủy quyền",'Business Rule &amp; Permission'!E85))</f>
        <v/>
      </c>
      <c r="F70" s="42" t="str">
        <f>IF('Business Rule &amp; Permission'!F85="","",'Business Rule &amp; Permission'!F85)</f>
        <v/>
      </c>
      <c r="G70" s="42" t="str">
        <f>IFERROR(__xludf.DUMMYFUNCTION("IF('Business Rule &amp; Permission'!G85="""","""",IFERROR(GOOGLETRANSLATE('Business Rule &amp; Permission'!G85,""en"",""vi""),'Business Rule &amp; Permission'!G85))"),"")</f>
        <v/>
      </c>
      <c r="H70" s="42" t="str">
        <f>IF('Business Rule &amp; Permission'!H85="","",SWITCH('Business Rule &amp; Permission'!H85,"Must-have","Bắt buộc","Should-have","Nên có","Could-have","Có thể có",'Business Rule &amp; Permission'!H85))</f>
        <v/>
      </c>
      <c r="I70" s="42" t="str">
        <f>IF('Business Rule &amp; Permission'!I85="","",SWITCH('Business Rule &amp; Permission'!I85,"Not Started","Chưa bắt đầu","In Progress","Đang làm","Done","Hoàn thành",'Business Rule &amp; Permission'!I85))</f>
        <v/>
      </c>
      <c r="J70" s="42" t="str">
        <f>IFERROR(__xludf.DUMMYFUNCTION("IF('Business Rule &amp; Permission'!J85="""","""",IFERROR(GOOGLETRANSLATE('Business Rule &amp; Permission'!J85,""en"",""vi""),'Business Rule &amp; Permission'!J85))"),"")</f>
        <v/>
      </c>
    </row>
    <row r="71">
      <c r="A71" s="42" t="str">
        <f>IF('Business Rule &amp; Permission'!A86="","",'Business Rule &amp; Permission'!A86)</f>
        <v/>
      </c>
      <c r="B71" s="42" t="str">
        <f>IFERROR(__xludf.DUMMYFUNCTION("IF('Business Rule &amp; Permission'!B86="""","""",IFERROR(GOOGLETRANSLATE('Business Rule &amp; Permission'!B86,""en"",""vi""),'Business Rule &amp; Permission'!B86))"),"")</f>
        <v/>
      </c>
      <c r="C71" s="42" t="str">
        <f>IFERROR(__xludf.DUMMYFUNCTION("IF('Business Rule &amp; Permission'!C86="""","""",IFERROR(GOOGLETRANSLATE('Business Rule &amp; Permission'!C86,""en"",""vi""),'Business Rule &amp; Permission'!C86))"),"")</f>
        <v/>
      </c>
      <c r="D71" s="42" t="str">
        <f>IFERROR(__xludf.DUMMYFUNCTION("IF('Business Rule &amp; Permission'!D86="""","""",IFERROR(GOOGLETRANSLATE('Business Rule &amp; Permission'!D86,""en"",""vi""),'Business Rule &amp; Permission'!D86))"),"")</f>
        <v/>
      </c>
      <c r="E71" s="42" t="str">
        <f>IF('Business Rule &amp; Permission'!E86="","",SWITCH('Business Rule &amp; Permission'!E86,"Yes","Có","No","Không","N/A","Không áp dụng","Can view/manage shared part if delegated","Có thể xem/quản lý phần dùng chung nếu được ủy quyền",'Business Rule &amp; Permission'!E86))</f>
        <v/>
      </c>
      <c r="F71" s="42" t="str">
        <f>IF('Business Rule &amp; Permission'!F86="","",'Business Rule &amp; Permission'!F86)</f>
        <v/>
      </c>
      <c r="G71" s="42" t="str">
        <f>IFERROR(__xludf.DUMMYFUNCTION("IF('Business Rule &amp; Permission'!G86="""","""",IFERROR(GOOGLETRANSLATE('Business Rule &amp; Permission'!G86,""en"",""vi""),'Business Rule &amp; Permission'!G86))"),"")</f>
        <v/>
      </c>
      <c r="H71" s="42" t="str">
        <f>IF('Business Rule &amp; Permission'!H86="","",SWITCH('Business Rule &amp; Permission'!H86,"Must-have","Bắt buộc","Should-have","Nên có","Could-have","Có thể có",'Business Rule &amp; Permission'!H86))</f>
        <v/>
      </c>
      <c r="I71" s="42" t="str">
        <f>IF('Business Rule &amp; Permission'!I86="","",SWITCH('Business Rule &amp; Permission'!I86,"Not Started","Chưa bắt đầu","In Progress","Đang làm","Done","Hoàn thành",'Business Rule &amp; Permission'!I86))</f>
        <v/>
      </c>
      <c r="J71" s="42" t="str">
        <f>IFERROR(__xludf.DUMMYFUNCTION("IF('Business Rule &amp; Permission'!J86="""","""",IFERROR(GOOGLETRANSLATE('Business Rule &amp; Permission'!J86,""en"",""vi""),'Business Rule &amp; Permission'!J86))"),"")</f>
        <v/>
      </c>
    </row>
    <row r="72">
      <c r="A72" s="42" t="str">
        <f>IF('Business Rule &amp; Permission'!A87="","",'Business Rule &amp; Permission'!A87)</f>
        <v/>
      </c>
      <c r="B72" s="42" t="str">
        <f>IFERROR(__xludf.DUMMYFUNCTION("IF('Business Rule &amp; Permission'!B87="""","""",IFERROR(GOOGLETRANSLATE('Business Rule &amp; Permission'!B87,""en"",""vi""),'Business Rule &amp; Permission'!B87))"),"")</f>
        <v/>
      </c>
      <c r="C72" s="42" t="str">
        <f>IFERROR(__xludf.DUMMYFUNCTION("IF('Business Rule &amp; Permission'!C87="""","""",IFERROR(GOOGLETRANSLATE('Business Rule &amp; Permission'!C87,""en"",""vi""),'Business Rule &amp; Permission'!C87))"),"")</f>
        <v/>
      </c>
      <c r="D72" s="42" t="str">
        <f>IFERROR(__xludf.DUMMYFUNCTION("IF('Business Rule &amp; Permission'!D87="""","""",IFERROR(GOOGLETRANSLATE('Business Rule &amp; Permission'!D87,""en"",""vi""),'Business Rule &amp; Permission'!D87))"),"")</f>
        <v/>
      </c>
      <c r="E72" s="42" t="str">
        <f>IF('Business Rule &amp; Permission'!E87="","",SWITCH('Business Rule &amp; Permission'!E87,"Yes","Có","No","Không","N/A","Không áp dụng","Can view/manage shared part if delegated","Có thể xem/quản lý phần dùng chung nếu được ủy quyền",'Business Rule &amp; Permission'!E87))</f>
        <v/>
      </c>
      <c r="F72" s="42" t="str">
        <f>IF('Business Rule &amp; Permission'!F87="","",'Business Rule &amp; Permission'!F87)</f>
        <v/>
      </c>
      <c r="G72" s="42" t="str">
        <f>IFERROR(__xludf.DUMMYFUNCTION("IF('Business Rule &amp; Permission'!G87="""","""",IFERROR(GOOGLETRANSLATE('Business Rule &amp; Permission'!G87,""en"",""vi""),'Business Rule &amp; Permission'!G87))"),"")</f>
        <v/>
      </c>
      <c r="H72" s="42" t="str">
        <f>IF('Business Rule &amp; Permission'!H87="","",SWITCH('Business Rule &amp; Permission'!H87,"Must-have","Bắt buộc","Should-have","Nên có","Could-have","Có thể có",'Business Rule &amp; Permission'!H87))</f>
        <v/>
      </c>
      <c r="I72" s="42" t="str">
        <f>IF('Business Rule &amp; Permission'!I87="","",SWITCH('Business Rule &amp; Permission'!I87,"Not Started","Chưa bắt đầu","In Progress","Đang làm","Done","Hoàn thành",'Business Rule &amp; Permission'!I87))</f>
        <v/>
      </c>
      <c r="J72" s="42" t="str">
        <f>IFERROR(__xludf.DUMMYFUNCTION("IF('Business Rule &amp; Permission'!J87="""","""",IFERROR(GOOGLETRANSLATE('Business Rule &amp; Permission'!J87,""en"",""vi""),'Business Rule &amp; Permission'!J87))"),"")</f>
        <v/>
      </c>
    </row>
    <row r="73">
      <c r="A73" s="42" t="str">
        <f>IF('Business Rule &amp; Permission'!A88="","",'Business Rule &amp; Permission'!A88)</f>
        <v/>
      </c>
      <c r="B73" s="42" t="str">
        <f>IFERROR(__xludf.DUMMYFUNCTION("IF('Business Rule &amp; Permission'!B88="""","""",IFERROR(GOOGLETRANSLATE('Business Rule &amp; Permission'!B88,""en"",""vi""),'Business Rule &amp; Permission'!B88))"),"")</f>
        <v/>
      </c>
      <c r="C73" s="42" t="str">
        <f>IFERROR(__xludf.DUMMYFUNCTION("IF('Business Rule &amp; Permission'!C88="""","""",IFERROR(GOOGLETRANSLATE('Business Rule &amp; Permission'!C88,""en"",""vi""),'Business Rule &amp; Permission'!C88))"),"")</f>
        <v/>
      </c>
      <c r="D73" s="42" t="str">
        <f>IFERROR(__xludf.DUMMYFUNCTION("IF('Business Rule &amp; Permission'!D88="""","""",IFERROR(GOOGLETRANSLATE('Business Rule &amp; Permission'!D88,""en"",""vi""),'Business Rule &amp; Permission'!D88))"),"")</f>
        <v/>
      </c>
      <c r="E73" s="42" t="str">
        <f>IF('Business Rule &amp; Permission'!E88="","",SWITCH('Business Rule &amp; Permission'!E88,"Yes","Có","No","Không","N/A","Không áp dụng","Can view/manage shared part if delegated","Có thể xem/quản lý phần dùng chung nếu được ủy quyền",'Business Rule &amp; Permission'!E88))</f>
        <v/>
      </c>
      <c r="F73" s="42" t="str">
        <f>IF('Business Rule &amp; Permission'!F88="","",'Business Rule &amp; Permission'!F88)</f>
        <v/>
      </c>
      <c r="G73" s="42" t="str">
        <f>IFERROR(__xludf.DUMMYFUNCTION("IF('Business Rule &amp; Permission'!G88="""","""",IFERROR(GOOGLETRANSLATE('Business Rule &amp; Permission'!G88,""en"",""vi""),'Business Rule &amp; Permission'!G88))"),"")</f>
        <v/>
      </c>
      <c r="H73" s="42" t="str">
        <f>IF('Business Rule &amp; Permission'!H88="","",SWITCH('Business Rule &amp; Permission'!H88,"Must-have","Bắt buộc","Should-have","Nên có","Could-have","Có thể có",'Business Rule &amp; Permission'!H88))</f>
        <v/>
      </c>
      <c r="I73" s="42" t="str">
        <f>IF('Business Rule &amp; Permission'!I88="","",SWITCH('Business Rule &amp; Permission'!I88,"Not Started","Chưa bắt đầu","In Progress","Đang làm","Done","Hoàn thành",'Business Rule &amp; Permission'!I88))</f>
        <v/>
      </c>
      <c r="J73" s="42" t="str">
        <f>IFERROR(__xludf.DUMMYFUNCTION("IF('Business Rule &amp; Permission'!J88="""","""",IFERROR(GOOGLETRANSLATE('Business Rule &amp; Permission'!J88,""en"",""vi""),'Business Rule &amp; Permission'!J88))"),"")</f>
        <v/>
      </c>
    </row>
    <row r="74">
      <c r="A74" s="42" t="str">
        <f>IF('Business Rule &amp; Permission'!A89="","",'Business Rule &amp; Permission'!A89)</f>
        <v/>
      </c>
      <c r="B74" s="42" t="str">
        <f>IFERROR(__xludf.DUMMYFUNCTION("IF('Business Rule &amp; Permission'!B89="""","""",IFERROR(GOOGLETRANSLATE('Business Rule &amp; Permission'!B89,""en"",""vi""),'Business Rule &amp; Permission'!B89))"),"")</f>
        <v/>
      </c>
      <c r="C74" s="42" t="str">
        <f>IFERROR(__xludf.DUMMYFUNCTION("IF('Business Rule &amp; Permission'!C89="""","""",IFERROR(GOOGLETRANSLATE('Business Rule &amp; Permission'!C89,""en"",""vi""),'Business Rule &amp; Permission'!C89))"),"")</f>
        <v/>
      </c>
      <c r="D74" s="42" t="str">
        <f>IFERROR(__xludf.DUMMYFUNCTION("IF('Business Rule &amp; Permission'!D89="""","""",IFERROR(GOOGLETRANSLATE('Business Rule &amp; Permission'!D89,""en"",""vi""),'Business Rule &amp; Permission'!D89))"),"")</f>
        <v/>
      </c>
      <c r="E74" s="42" t="str">
        <f>IF('Business Rule &amp; Permission'!E89="","",SWITCH('Business Rule &amp; Permission'!E89,"Yes","Có","No","Không","N/A","Không áp dụng","Can view/manage shared part if delegated","Có thể xem/quản lý phần dùng chung nếu được ủy quyền",'Business Rule &amp; Permission'!E89))</f>
        <v/>
      </c>
      <c r="F74" s="42" t="str">
        <f>IF('Business Rule &amp; Permission'!F89="","",'Business Rule &amp; Permission'!F89)</f>
        <v/>
      </c>
      <c r="G74" s="42" t="str">
        <f>IFERROR(__xludf.DUMMYFUNCTION("IF('Business Rule &amp; Permission'!G89="""","""",IFERROR(GOOGLETRANSLATE('Business Rule &amp; Permission'!G89,""en"",""vi""),'Business Rule &amp; Permission'!G89))"),"")</f>
        <v/>
      </c>
      <c r="H74" s="42" t="str">
        <f>IF('Business Rule &amp; Permission'!H89="","",SWITCH('Business Rule &amp; Permission'!H89,"Must-have","Bắt buộc","Should-have","Nên có","Could-have","Có thể có",'Business Rule &amp; Permission'!H89))</f>
        <v/>
      </c>
      <c r="I74" s="42" t="str">
        <f>IF('Business Rule &amp; Permission'!I89="","",SWITCH('Business Rule &amp; Permission'!I89,"Not Started","Chưa bắt đầu","In Progress","Đang làm","Done","Hoàn thành",'Business Rule &amp; Permission'!I89))</f>
        <v/>
      </c>
      <c r="J74" s="42" t="str">
        <f>IFERROR(__xludf.DUMMYFUNCTION("IF('Business Rule &amp; Permission'!J89="""","""",IFERROR(GOOGLETRANSLATE('Business Rule &amp; Permission'!J89,""en"",""vi""),'Business Rule &amp; Permission'!J89))"),"")</f>
        <v/>
      </c>
    </row>
    <row r="75">
      <c r="A75" s="42" t="str">
        <f>IF('Business Rule &amp; Permission'!A90="","",'Business Rule &amp; Permission'!A90)</f>
        <v/>
      </c>
      <c r="B75" s="42" t="str">
        <f>IFERROR(__xludf.DUMMYFUNCTION("IF('Business Rule &amp; Permission'!B90="""","""",IFERROR(GOOGLETRANSLATE('Business Rule &amp; Permission'!B90,""en"",""vi""),'Business Rule &amp; Permission'!B90))"),"")</f>
        <v/>
      </c>
      <c r="C75" s="42" t="str">
        <f>IFERROR(__xludf.DUMMYFUNCTION("IF('Business Rule &amp; Permission'!C90="""","""",IFERROR(GOOGLETRANSLATE('Business Rule &amp; Permission'!C90,""en"",""vi""),'Business Rule &amp; Permission'!C90))"),"")</f>
        <v/>
      </c>
      <c r="D75" s="42" t="str">
        <f>IFERROR(__xludf.DUMMYFUNCTION("IF('Business Rule &amp; Permission'!D90="""","""",IFERROR(GOOGLETRANSLATE('Business Rule &amp; Permission'!D90,""en"",""vi""),'Business Rule &amp; Permission'!D90))"),"")</f>
        <v/>
      </c>
      <c r="E75" s="42" t="str">
        <f>IF('Business Rule &amp; Permission'!E90="","",SWITCH('Business Rule &amp; Permission'!E90,"Yes","Có","No","Không","N/A","Không áp dụng","Can view/manage shared part if delegated","Có thể xem/quản lý phần dùng chung nếu được ủy quyền",'Business Rule &amp; Permission'!E90))</f>
        <v/>
      </c>
      <c r="F75" s="42" t="str">
        <f>IF('Business Rule &amp; Permission'!F90="","",'Business Rule &amp; Permission'!F90)</f>
        <v/>
      </c>
      <c r="G75" s="42" t="str">
        <f>IFERROR(__xludf.DUMMYFUNCTION("IF('Business Rule &amp; Permission'!G90="""","""",IFERROR(GOOGLETRANSLATE('Business Rule &amp; Permission'!G90,""en"",""vi""),'Business Rule &amp; Permission'!G90))"),"")</f>
        <v/>
      </c>
      <c r="H75" s="42" t="str">
        <f>IF('Business Rule &amp; Permission'!H90="","",SWITCH('Business Rule &amp; Permission'!H90,"Must-have","Bắt buộc","Should-have","Nên có","Could-have","Có thể có",'Business Rule &amp; Permission'!H90))</f>
        <v/>
      </c>
      <c r="I75" s="42" t="str">
        <f>IF('Business Rule &amp; Permission'!I90="","",SWITCH('Business Rule &amp; Permission'!I90,"Not Started","Chưa bắt đầu","In Progress","Đang làm","Done","Hoàn thành",'Business Rule &amp; Permission'!I90))</f>
        <v/>
      </c>
      <c r="J75" s="42" t="str">
        <f>IFERROR(__xludf.DUMMYFUNCTION("IF('Business Rule &amp; Permission'!J90="""","""",IFERROR(GOOGLETRANSLATE('Business Rule &amp; Permission'!J90,""en"",""vi""),'Business Rule &amp; Permission'!J90))"),"")</f>
        <v/>
      </c>
    </row>
    <row r="76">
      <c r="A76" s="42" t="str">
        <f>IF('Business Rule &amp; Permission'!A91="","",'Business Rule &amp; Permission'!A91)</f>
        <v/>
      </c>
      <c r="B76" s="42" t="str">
        <f>IFERROR(__xludf.DUMMYFUNCTION("IF('Business Rule &amp; Permission'!B91="""","""",IFERROR(GOOGLETRANSLATE('Business Rule &amp; Permission'!B91,""en"",""vi""),'Business Rule &amp; Permission'!B91))"),"")</f>
        <v/>
      </c>
      <c r="C76" s="42" t="str">
        <f>IFERROR(__xludf.DUMMYFUNCTION("IF('Business Rule &amp; Permission'!C91="""","""",IFERROR(GOOGLETRANSLATE('Business Rule &amp; Permission'!C91,""en"",""vi""),'Business Rule &amp; Permission'!C91))"),"")</f>
        <v/>
      </c>
      <c r="D76" s="42" t="str">
        <f>IFERROR(__xludf.DUMMYFUNCTION("IF('Business Rule &amp; Permission'!D91="""","""",IFERROR(GOOGLETRANSLATE('Business Rule &amp; Permission'!D91,""en"",""vi""),'Business Rule &amp; Permission'!D91))"),"")</f>
        <v/>
      </c>
      <c r="E76" s="42" t="str">
        <f>IF('Business Rule &amp; Permission'!E91="","",SWITCH('Business Rule &amp; Permission'!E91,"Yes","Có","No","Không","N/A","Không áp dụng","Can view/manage shared part if delegated","Có thể xem/quản lý phần dùng chung nếu được ủy quyền",'Business Rule &amp; Permission'!E91))</f>
        <v/>
      </c>
      <c r="F76" s="42" t="str">
        <f>IF('Business Rule &amp; Permission'!F91="","",'Business Rule &amp; Permission'!F91)</f>
        <v/>
      </c>
      <c r="G76" s="42" t="str">
        <f>IFERROR(__xludf.DUMMYFUNCTION("IF('Business Rule &amp; Permission'!G91="""","""",IFERROR(GOOGLETRANSLATE('Business Rule &amp; Permission'!G91,""en"",""vi""),'Business Rule &amp; Permission'!G91))"),"")</f>
        <v/>
      </c>
      <c r="H76" s="42" t="str">
        <f>IF('Business Rule &amp; Permission'!H91="","",SWITCH('Business Rule &amp; Permission'!H91,"Must-have","Bắt buộc","Should-have","Nên có","Could-have","Có thể có",'Business Rule &amp; Permission'!H91))</f>
        <v/>
      </c>
      <c r="I76" s="42" t="str">
        <f>IF('Business Rule &amp; Permission'!I91="","",SWITCH('Business Rule &amp; Permission'!I91,"Not Started","Chưa bắt đầu","In Progress","Đang làm","Done","Hoàn thành",'Business Rule &amp; Permission'!I91))</f>
        <v/>
      </c>
      <c r="J76" s="42" t="str">
        <f>IFERROR(__xludf.DUMMYFUNCTION("IF('Business Rule &amp; Permission'!J91="""","""",IFERROR(GOOGLETRANSLATE('Business Rule &amp; Permission'!J91,""en"",""vi""),'Business Rule &amp; Permission'!J91))"),"")</f>
        <v/>
      </c>
    </row>
    <row r="77">
      <c r="A77" s="42" t="str">
        <f>IF('Business Rule &amp; Permission'!A92="","",'Business Rule &amp; Permission'!A92)</f>
        <v/>
      </c>
      <c r="B77" s="42" t="str">
        <f>IFERROR(__xludf.DUMMYFUNCTION("IF('Business Rule &amp; Permission'!B92="""","""",IFERROR(GOOGLETRANSLATE('Business Rule &amp; Permission'!B92,""en"",""vi""),'Business Rule &amp; Permission'!B92))"),"")</f>
        <v/>
      </c>
      <c r="C77" s="42" t="str">
        <f>IFERROR(__xludf.DUMMYFUNCTION("IF('Business Rule &amp; Permission'!C92="""","""",IFERROR(GOOGLETRANSLATE('Business Rule &amp; Permission'!C92,""en"",""vi""),'Business Rule &amp; Permission'!C92))"),"")</f>
        <v/>
      </c>
      <c r="D77" s="42" t="str">
        <f>IFERROR(__xludf.DUMMYFUNCTION("IF('Business Rule &amp; Permission'!D92="""","""",IFERROR(GOOGLETRANSLATE('Business Rule &amp; Permission'!D92,""en"",""vi""),'Business Rule &amp; Permission'!D92))"),"")</f>
        <v/>
      </c>
      <c r="E77" s="42" t="str">
        <f>IF('Business Rule &amp; Permission'!E92="","",SWITCH('Business Rule &amp; Permission'!E92,"Yes","Có","No","Không","N/A","Không áp dụng","Can view/manage shared part if delegated","Có thể xem/quản lý phần dùng chung nếu được ủy quyền",'Business Rule &amp; Permission'!E92))</f>
        <v/>
      </c>
      <c r="F77" s="42" t="str">
        <f>IF('Business Rule &amp; Permission'!F92="","",'Business Rule &amp; Permission'!F92)</f>
        <v/>
      </c>
      <c r="G77" s="42" t="str">
        <f>IFERROR(__xludf.DUMMYFUNCTION("IF('Business Rule &amp; Permission'!G92="""","""",IFERROR(GOOGLETRANSLATE('Business Rule &amp; Permission'!G92,""en"",""vi""),'Business Rule &amp; Permission'!G92))"),"")</f>
        <v/>
      </c>
      <c r="H77" s="42" t="str">
        <f>IF('Business Rule &amp; Permission'!H92="","",SWITCH('Business Rule &amp; Permission'!H92,"Must-have","Bắt buộc","Should-have","Nên có","Could-have","Có thể có",'Business Rule &amp; Permission'!H92))</f>
        <v/>
      </c>
      <c r="I77" s="42" t="str">
        <f>IF('Business Rule &amp; Permission'!I92="","",SWITCH('Business Rule &amp; Permission'!I92,"Not Started","Chưa bắt đầu","In Progress","Đang làm","Done","Hoàn thành",'Business Rule &amp; Permission'!I92))</f>
        <v/>
      </c>
      <c r="J77" s="42" t="str">
        <f>IFERROR(__xludf.DUMMYFUNCTION("IF('Business Rule &amp; Permission'!J92="""","""",IFERROR(GOOGLETRANSLATE('Business Rule &amp; Permission'!J92,""en"",""vi""),'Business Rule &amp; Permission'!J92))"),"")</f>
        <v/>
      </c>
    </row>
    <row r="78">
      <c r="A78" s="42" t="str">
        <f>IF('Business Rule &amp; Permission'!A93="","",'Business Rule &amp; Permission'!A93)</f>
        <v/>
      </c>
      <c r="B78" s="42" t="str">
        <f>IFERROR(__xludf.DUMMYFUNCTION("IF('Business Rule &amp; Permission'!B93="""","""",IFERROR(GOOGLETRANSLATE('Business Rule &amp; Permission'!B93,""en"",""vi""),'Business Rule &amp; Permission'!B93))"),"")</f>
        <v/>
      </c>
      <c r="C78" s="42" t="str">
        <f>IFERROR(__xludf.DUMMYFUNCTION("IF('Business Rule &amp; Permission'!C93="""","""",IFERROR(GOOGLETRANSLATE('Business Rule &amp; Permission'!C93,""en"",""vi""),'Business Rule &amp; Permission'!C93))"),"")</f>
        <v/>
      </c>
      <c r="D78" s="42" t="str">
        <f>IFERROR(__xludf.DUMMYFUNCTION("IF('Business Rule &amp; Permission'!D93="""","""",IFERROR(GOOGLETRANSLATE('Business Rule &amp; Permission'!D93,""en"",""vi""),'Business Rule &amp; Permission'!D93))"),"")</f>
        <v/>
      </c>
      <c r="E78" s="42" t="str">
        <f>IF('Business Rule &amp; Permission'!E93="","",SWITCH('Business Rule &amp; Permission'!E93,"Yes","Có","No","Không","N/A","Không áp dụng","Can view/manage shared part if delegated","Có thể xem/quản lý phần dùng chung nếu được ủy quyền",'Business Rule &amp; Permission'!E93))</f>
        <v/>
      </c>
      <c r="F78" s="42" t="str">
        <f>IF('Business Rule &amp; Permission'!F93="","",'Business Rule &amp; Permission'!F93)</f>
        <v/>
      </c>
      <c r="G78" s="42" t="str">
        <f>IFERROR(__xludf.DUMMYFUNCTION("IF('Business Rule &amp; Permission'!G93="""","""",IFERROR(GOOGLETRANSLATE('Business Rule &amp; Permission'!G93,""en"",""vi""),'Business Rule &amp; Permission'!G93))"),"")</f>
        <v/>
      </c>
      <c r="H78" s="42" t="str">
        <f>IF('Business Rule &amp; Permission'!H93="","",SWITCH('Business Rule &amp; Permission'!H93,"Must-have","Bắt buộc","Should-have","Nên có","Could-have","Có thể có",'Business Rule &amp; Permission'!H93))</f>
        <v/>
      </c>
      <c r="I78" s="42" t="str">
        <f>IF('Business Rule &amp; Permission'!I93="","",SWITCH('Business Rule &amp; Permission'!I93,"Not Started","Chưa bắt đầu","In Progress","Đang làm","Done","Hoàn thành",'Business Rule &amp; Permission'!I93))</f>
        <v/>
      </c>
      <c r="J78" s="42" t="str">
        <f>IFERROR(__xludf.DUMMYFUNCTION("IF('Business Rule &amp; Permission'!J93="""","""",IFERROR(GOOGLETRANSLATE('Business Rule &amp; Permission'!J93,""en"",""vi""),'Business Rule &amp; Permission'!J93))"),"")</f>
        <v/>
      </c>
    </row>
    <row r="79">
      <c r="A79" s="42" t="str">
        <f>IF('Business Rule &amp; Permission'!A94="","",'Business Rule &amp; Permission'!A94)</f>
        <v/>
      </c>
      <c r="B79" s="42" t="str">
        <f>IFERROR(__xludf.DUMMYFUNCTION("IF('Business Rule &amp; Permission'!B94="""","""",IFERROR(GOOGLETRANSLATE('Business Rule &amp; Permission'!B94,""en"",""vi""),'Business Rule &amp; Permission'!B94))"),"")</f>
        <v/>
      </c>
      <c r="C79" s="42" t="str">
        <f>IFERROR(__xludf.DUMMYFUNCTION("IF('Business Rule &amp; Permission'!C94="""","""",IFERROR(GOOGLETRANSLATE('Business Rule &amp; Permission'!C94,""en"",""vi""),'Business Rule &amp; Permission'!C94))"),"")</f>
        <v/>
      </c>
      <c r="D79" s="42" t="str">
        <f>IFERROR(__xludf.DUMMYFUNCTION("IF('Business Rule &amp; Permission'!D94="""","""",IFERROR(GOOGLETRANSLATE('Business Rule &amp; Permission'!D94,""en"",""vi""),'Business Rule &amp; Permission'!D94))"),"")</f>
        <v/>
      </c>
      <c r="E79" s="42" t="str">
        <f>IF('Business Rule &amp; Permission'!E94="","",SWITCH('Business Rule &amp; Permission'!E94,"Yes","Có","No","Không","N/A","Không áp dụng","Can view/manage shared part if delegated","Có thể xem/quản lý phần dùng chung nếu được ủy quyền",'Business Rule &amp; Permission'!E94))</f>
        <v/>
      </c>
      <c r="F79" s="42" t="str">
        <f>IF('Business Rule &amp; Permission'!F94="","",'Business Rule &amp; Permission'!F94)</f>
        <v/>
      </c>
      <c r="G79" s="42" t="str">
        <f>IFERROR(__xludf.DUMMYFUNCTION("IF('Business Rule &amp; Permission'!G94="""","""",IFERROR(GOOGLETRANSLATE('Business Rule &amp; Permission'!G94,""en"",""vi""),'Business Rule &amp; Permission'!G94))"),"")</f>
        <v/>
      </c>
      <c r="H79" s="42" t="str">
        <f>IF('Business Rule &amp; Permission'!H94="","",SWITCH('Business Rule &amp; Permission'!H94,"Must-have","Bắt buộc","Should-have","Nên có","Could-have","Có thể có",'Business Rule &amp; Permission'!H94))</f>
        <v/>
      </c>
      <c r="I79" s="42" t="str">
        <f>IF('Business Rule &amp; Permission'!I94="","",SWITCH('Business Rule &amp; Permission'!I94,"Not Started","Chưa bắt đầu","In Progress","Đang làm","Done","Hoàn thành",'Business Rule &amp; Permission'!I94))</f>
        <v/>
      </c>
      <c r="J79" s="42" t="str">
        <f>IFERROR(__xludf.DUMMYFUNCTION("IF('Business Rule &amp; Permission'!J94="""","""",IFERROR(GOOGLETRANSLATE('Business Rule &amp; Permission'!J94,""en"",""vi""),'Business Rule &amp; Permission'!J94))"),"")</f>
        <v/>
      </c>
    </row>
    <row r="80">
      <c r="A80" s="42" t="str">
        <f>IF('Business Rule &amp; Permission'!A95="","",'Business Rule &amp; Permission'!A95)</f>
        <v/>
      </c>
      <c r="B80" s="42" t="str">
        <f>IFERROR(__xludf.DUMMYFUNCTION("IF('Business Rule &amp; Permission'!B95="""","""",IFERROR(GOOGLETRANSLATE('Business Rule &amp; Permission'!B95,""en"",""vi""),'Business Rule &amp; Permission'!B95))"),"")</f>
        <v/>
      </c>
      <c r="C80" s="42" t="str">
        <f>IFERROR(__xludf.DUMMYFUNCTION("IF('Business Rule &amp; Permission'!C95="""","""",IFERROR(GOOGLETRANSLATE('Business Rule &amp; Permission'!C95,""en"",""vi""),'Business Rule &amp; Permission'!C95))"),"")</f>
        <v/>
      </c>
      <c r="D80" s="42" t="str">
        <f>IFERROR(__xludf.DUMMYFUNCTION("IF('Business Rule &amp; Permission'!D95="""","""",IFERROR(GOOGLETRANSLATE('Business Rule &amp; Permission'!D95,""en"",""vi""),'Business Rule &amp; Permission'!D95))"),"")</f>
        <v/>
      </c>
      <c r="E80" s="42" t="str">
        <f>IF('Business Rule &amp; Permission'!E95="","",SWITCH('Business Rule &amp; Permission'!E95,"Yes","Có","No","Không","N/A","Không áp dụng","Can view/manage shared part if delegated","Có thể xem/quản lý phần dùng chung nếu được ủy quyền",'Business Rule &amp; Permission'!E95))</f>
        <v/>
      </c>
      <c r="F80" s="42" t="str">
        <f>IF('Business Rule &amp; Permission'!F95="","",'Business Rule &amp; Permission'!F95)</f>
        <v/>
      </c>
      <c r="G80" s="42" t="str">
        <f>IFERROR(__xludf.DUMMYFUNCTION("IF('Business Rule &amp; Permission'!G95="""","""",IFERROR(GOOGLETRANSLATE('Business Rule &amp; Permission'!G95,""en"",""vi""),'Business Rule &amp; Permission'!G95))"),"")</f>
        <v/>
      </c>
      <c r="H80" s="42" t="str">
        <f>IF('Business Rule &amp; Permission'!H95="","",SWITCH('Business Rule &amp; Permission'!H95,"Must-have","Bắt buộc","Should-have","Nên có","Could-have","Có thể có",'Business Rule &amp; Permission'!H95))</f>
        <v/>
      </c>
      <c r="I80" s="42" t="str">
        <f>IF('Business Rule &amp; Permission'!I95="","",SWITCH('Business Rule &amp; Permission'!I95,"Not Started","Chưa bắt đầu","In Progress","Đang làm","Done","Hoàn thành",'Business Rule &amp; Permission'!I95))</f>
        <v/>
      </c>
      <c r="J80" s="42" t="str">
        <f>IFERROR(__xludf.DUMMYFUNCTION("IF('Business Rule &amp; Permission'!J95="""","""",IFERROR(GOOGLETRANSLATE('Business Rule &amp; Permission'!J95,""en"",""vi""),'Business Rule &amp; Permission'!J95))"),"")</f>
        <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8C3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5" max="5" width="16.13"/>
    <col customWidth="1" min="8" max="8" width="37.63"/>
    <col customWidth="1" min="12" max="12" width="36.63"/>
  </cols>
  <sheetData>
    <row r="1" ht="22.5" customHeight="1">
      <c r="A1" s="39" t="s">
        <v>1766</v>
      </c>
      <c r="B1" s="39" t="s">
        <v>1797</v>
      </c>
      <c r="C1" s="39" t="s">
        <v>1798</v>
      </c>
      <c r="D1" s="39" t="s">
        <v>884</v>
      </c>
      <c r="E1" s="39" t="s">
        <v>885</v>
      </c>
      <c r="F1" s="39" t="s">
        <v>886</v>
      </c>
      <c r="G1" s="39" t="s">
        <v>887</v>
      </c>
      <c r="H1" s="39" t="s">
        <v>1799</v>
      </c>
      <c r="I1" s="39" t="s">
        <v>1800</v>
      </c>
      <c r="J1" s="39" t="s">
        <v>1801</v>
      </c>
      <c r="K1" s="39" t="s">
        <v>1771</v>
      </c>
      <c r="L1" s="39" t="s">
        <v>1774</v>
      </c>
    </row>
    <row r="2" ht="22.5" customHeight="1">
      <c r="A2" s="40" t="str">
        <f>IF('API Screen DB Mapping'!A2="","",'API Screen DB Mapping'!A2)</f>
        <v>UC01</v>
      </c>
      <c r="B2" s="40" t="str">
        <f>IFERROR(__xludf.DUMMYFUNCTION("IF('API Screen DB Mapping'!B2="""","""",IFERROR(GOOGLETRANSLATE('API Screen DB Mapping'!B2,""en"",""vi""),'API Screen DB Mapping'!B2))"),"Quản lý các gói đăng ký cơ bản")</f>
        <v>Quản lý các gói đăng ký cơ bản</v>
      </c>
      <c r="C2" s="40" t="str">
        <f>IFERROR(__xludf.DUMMYFUNCTION("IF('API Screen DB Mapping'!C2="""","""",IFERROR(GOOGLETRANSLATE('API Screen DB Mapping'!C2,""en"",""vi""),'API Screen DB Mapping'!C2))"),"Quản trị web")</f>
        <v>Quản trị web</v>
      </c>
      <c r="D2" s="40" t="str">
        <f>IF('API Screen DB Mapping'!D2="","",'API Screen DB Mapping'!D2)</f>
        <v>/api/admin</v>
      </c>
      <c r="E2" s="40" t="str">
        <f>IF('API Screen DB Mapping'!E2="","",'API Screen DB Mapping'!E2)</f>
        <v>GET/POST/PATCH</v>
      </c>
      <c r="F2" s="40" t="str">
        <f>IF('API Screen DB Mapping'!F2="","",'API Screen DB Mapping'!F2)</f>
        <v>TBD</v>
      </c>
      <c r="G2" s="40" t="str">
        <f>IF('API Screen DB Mapping'!G2="","",'API Screen DB Mapping'!G2)</f>
        <v>TBD</v>
      </c>
      <c r="H2" s="40" t="str">
        <f>IF('API Screen DB Mapping'!H2="","",'API Screen DB Mapping'!H2)</f>
        <v>SubscriptionPlan, FamilyWorkspace, ProvisioningLog, AccountStatus</v>
      </c>
      <c r="I2" s="40" t="str">
        <f>IF('API Screen DB Mapping'!I2="","",'API Screen DB Mapping'!I2)</f>
        <v/>
      </c>
      <c r="J2" s="40" t="str">
        <f>IF('API Screen DB Mapping'!J2="","",'API Screen DB Mapping'!J2)</f>
        <v/>
      </c>
      <c r="K2" s="40" t="str">
        <f>IF('API Screen DB Mapping'!K2="","",SWITCH('API Screen DB Mapping'!K2,"Not Started","Chưa bắt đầu","In Progress","Đang làm","Done","Hoàn thành",'API Screen DB Mapping'!K2))</f>
        <v>Chưa bắt đầu</v>
      </c>
    </row>
    <row r="3" ht="22.5" customHeight="1">
      <c r="A3" s="40" t="str">
        <f>IF('API Screen DB Mapping'!A3="","",'API Screen DB Mapping'!A3)</f>
        <v>UC02</v>
      </c>
      <c r="B3" s="40" t="str">
        <f>IFERROR(__xludf.DUMMYFUNCTION("IF('API Screen DB Mapping'!B3="""","""",IFERROR(GOOGLETRANSLATE('API Screen DB Mapping'!B3,""en"",""vi""),'API Screen DB Mapping'!B3))"),"Quản lý không gian làm việc gia đình và trạng thái đăng ký")</f>
        <v>Quản lý không gian làm việc gia đình và trạng thái đăng ký</v>
      </c>
      <c r="C3" s="40" t="str">
        <f>IFERROR(__xludf.DUMMYFUNCTION("IF('API Screen DB Mapping'!C3="""","""",IFERROR(GOOGLETRANSLATE('API Screen DB Mapping'!C3,""en"",""vi""),'API Screen DB Mapping'!C3))"),"Quản trị web")</f>
        <v>Quản trị web</v>
      </c>
      <c r="D3" s="40" t="str">
        <f>IF('API Screen DB Mapping'!D3="","",'API Screen DB Mapping'!D3)</f>
        <v>/api/admin</v>
      </c>
      <c r="E3" s="40" t="str">
        <f>IF('API Screen DB Mapping'!E3="","",'API Screen DB Mapping'!E3)</f>
        <v>GET/POST/PATCH</v>
      </c>
      <c r="F3" s="40" t="str">
        <f>IF('API Screen DB Mapping'!F3="","",'API Screen DB Mapping'!F3)</f>
        <v>TBD</v>
      </c>
      <c r="G3" s="40" t="str">
        <f>IF('API Screen DB Mapping'!G3="","",'API Screen DB Mapping'!G3)</f>
        <v>TBD</v>
      </c>
      <c r="H3" s="40" t="str">
        <f>IF('API Screen DB Mapping'!H3="","",'API Screen DB Mapping'!H3)</f>
        <v>SubscriptionPlan, FamilyWorkspace, ProvisioningLog, AccountStatus</v>
      </c>
      <c r="I3" s="40" t="str">
        <f>IF('API Screen DB Mapping'!I3="","",'API Screen DB Mapping'!I3)</f>
        <v/>
      </c>
      <c r="J3" s="40" t="str">
        <f>IF('API Screen DB Mapping'!J3="","",'API Screen DB Mapping'!J3)</f>
        <v/>
      </c>
      <c r="K3" s="40" t="str">
        <f>IF('API Screen DB Mapping'!K3="","",SWITCH('API Screen DB Mapping'!K3,"Not Started","Chưa bắt đầu","In Progress","Đang làm","Done","Hoàn thành",'API Screen DB Mapping'!K3))</f>
        <v>Chưa bắt đầu</v>
      </c>
      <c r="L3" s="40" t="str">
        <f>IFERROR(__xludf.DUMMYFUNCTION("IF('API Screen DB Mapping'!L3="""","""",IFERROR(GOOGLETRANSLATE('API Screen DB Mapping'!L3,""en"",""vi""),'API Screen DB Mapping'!L3))"),"Thêm điểm cuối chính xác sau khi thiết kế API.")</f>
        <v>Thêm điểm cuối chính xác sau khi thiết kế API.</v>
      </c>
    </row>
    <row r="4" ht="22.5" customHeight="1">
      <c r="A4" s="40" t="str">
        <f>IF('API Screen DB Mapping'!A4="","",'API Screen DB Mapping'!A4)</f>
        <v>UC03</v>
      </c>
      <c r="B4" s="40" t="str">
        <f>IFERROR(__xludf.DUMMYFUNCTION("IF('API Screen DB Mapping'!B4="""","""",IFERROR(GOOGLETRANSLATE('API Screen DB Mapping'!B4,""en"",""vi""),'API Screen DB Mapping'!B4))"),"Quản lý quyền truy cập tài khoản người dùng")</f>
        <v>Quản lý quyền truy cập tài khoản người dùng</v>
      </c>
      <c r="C4" s="40" t="str">
        <f>IFERROR(__xludf.DUMMYFUNCTION("IF('API Screen DB Mapping'!C4="""","""",IFERROR(GOOGLETRANSLATE('API Screen DB Mapping'!C4,""en"",""vi""),'API Screen DB Mapping'!C4))"),"Quản trị web")</f>
        <v>Quản trị web</v>
      </c>
      <c r="D4" s="40" t="str">
        <f>IF('API Screen DB Mapping'!D4="","",'API Screen DB Mapping'!D4)</f>
        <v>/api/admin</v>
      </c>
      <c r="E4" s="40" t="str">
        <f>IF('API Screen DB Mapping'!E4="","",'API Screen DB Mapping'!E4)</f>
        <v>GET/POST/PATCH</v>
      </c>
      <c r="F4" s="40" t="str">
        <f>IF('API Screen DB Mapping'!F4="","",'API Screen DB Mapping'!F4)</f>
        <v>TBD</v>
      </c>
      <c r="G4" s="40" t="str">
        <f>IF('API Screen DB Mapping'!G4="","",'API Screen DB Mapping'!G4)</f>
        <v>TBD</v>
      </c>
      <c r="H4" s="40" t="str">
        <f>IF('API Screen DB Mapping'!H4="","",'API Screen DB Mapping'!H4)</f>
        <v>SubscriptionPlan, FamilyWorkspace, ProvisioningLog, AccountStatus</v>
      </c>
      <c r="I4" s="40" t="str">
        <f>IF('API Screen DB Mapping'!I4="","",'API Screen DB Mapping'!I4)</f>
        <v/>
      </c>
      <c r="J4" s="40" t="str">
        <f>IF('API Screen DB Mapping'!J4="","",'API Screen DB Mapping'!J4)</f>
        <v/>
      </c>
      <c r="K4" s="40" t="str">
        <f>IF('API Screen DB Mapping'!K4="","",SWITCH('API Screen DB Mapping'!K4,"Not Started","Chưa bắt đầu","In Progress","Đang làm","Done","Hoàn thành",'API Screen DB Mapping'!K4))</f>
        <v>Chưa bắt đầu</v>
      </c>
      <c r="L4" s="40" t="str">
        <f>IFERROR(__xludf.DUMMYFUNCTION("IF('API Screen DB Mapping'!L4="""","""",IFERROR(GOOGLETRANSLATE('API Screen DB Mapping'!L4,""en"",""vi""),'API Screen DB Mapping'!L4))"),"Thêm điểm cuối chính xác sau khi thiết kế API.")</f>
        <v>Thêm điểm cuối chính xác sau khi thiết kế API.</v>
      </c>
    </row>
    <row r="5" ht="22.5" customHeight="1">
      <c r="A5" s="40" t="str">
        <f>IF('API Screen DB Mapping'!A5="","",'API Screen DB Mapping'!A5)</f>
        <v>UC04</v>
      </c>
      <c r="B5" s="40" t="str">
        <f>IFERROR(__xludf.DUMMYFUNCTION("IF('API Screen DB Mapping'!B5="""","""",IFERROR(GOOGLETRANSLATE('API Screen DB Mapping'!B5,""en"",""vi""),'API Screen DB Mapping'!B5))"),"Giám sát trạng thái kích hoạt không gian làm việc")</f>
        <v>Giám sát trạng thái kích hoạt không gian làm việc</v>
      </c>
      <c r="C5" s="40" t="str">
        <f>IFERROR(__xludf.DUMMYFUNCTION("IF('API Screen DB Mapping'!C5="""","""",IFERROR(GOOGLETRANSLATE('API Screen DB Mapping'!C5,""en"",""vi""),'API Screen DB Mapping'!C5))"),"Quản trị web")</f>
        <v>Quản trị web</v>
      </c>
      <c r="D5" s="40" t="str">
        <f>IF('API Screen DB Mapping'!D5="","",'API Screen DB Mapping'!D5)</f>
        <v>/api/admin</v>
      </c>
      <c r="E5" s="40" t="str">
        <f>IF('API Screen DB Mapping'!E5="","",'API Screen DB Mapping'!E5)</f>
        <v>GET/POST/PATCH</v>
      </c>
      <c r="F5" s="40" t="str">
        <f>IF('API Screen DB Mapping'!F5="","",'API Screen DB Mapping'!F5)</f>
        <v>TBD</v>
      </c>
      <c r="G5" s="40" t="str">
        <f>IF('API Screen DB Mapping'!G5="","",'API Screen DB Mapping'!G5)</f>
        <v>TBD</v>
      </c>
      <c r="H5" s="40" t="str">
        <f>IF('API Screen DB Mapping'!H5="","",'API Screen DB Mapping'!H5)</f>
        <v>SubscriptionPlan, FamilyWorkspace, ProvisioningLog, AccountStatus</v>
      </c>
      <c r="I5" s="40" t="str">
        <f>IF('API Screen DB Mapping'!I5="","",'API Screen DB Mapping'!I5)</f>
        <v/>
      </c>
      <c r="J5" s="40" t="str">
        <f>IF('API Screen DB Mapping'!J5="","",'API Screen DB Mapping'!J5)</f>
        <v/>
      </c>
      <c r="K5" s="40" t="str">
        <f>IF('API Screen DB Mapping'!K5="","",SWITCH('API Screen DB Mapping'!K5,"Not Started","Chưa bắt đầu","In Progress","Đang làm","Done","Hoàn thành",'API Screen DB Mapping'!K5))</f>
        <v>Chưa bắt đầu</v>
      </c>
      <c r="L5" s="40" t="str">
        <f>IFERROR(__xludf.DUMMYFUNCTION("IF('API Screen DB Mapping'!L5="""","""",IFERROR(GOOGLETRANSLATE('API Screen DB Mapping'!L5,""en"",""vi""),'API Screen DB Mapping'!L5))"),"Thêm điểm cuối chính xác sau khi thiết kế API.")</f>
        <v>Thêm điểm cuối chính xác sau khi thiết kế API.</v>
      </c>
    </row>
    <row r="6" ht="22.5" customHeight="1">
      <c r="A6" s="40" t="str">
        <f>IF('API Screen DB Mapping'!A6="","",'API Screen DB Mapping'!A6)</f>
        <v>UC05</v>
      </c>
      <c r="B6" s="40" t="str">
        <f>IFERROR(__xludf.DUMMYFUNCTION("IF('API Screen DB Mapping'!B6="""","""",IFERROR(GOOGLETRANSLATE('API Screen DB Mapping'!B6,""en"",""vi""),'API Screen DB Mapping'!B6))"),"Xem trạng thái dịch vụ cơ bản")</f>
        <v>Xem trạng thái dịch vụ cơ bản</v>
      </c>
      <c r="C6" s="40" t="str">
        <f>IFERROR(__xludf.DUMMYFUNCTION("IF('API Screen DB Mapping'!C6="""","""",IFERROR(GOOGLETRANSLATE('API Screen DB Mapping'!C6,""en"",""vi""),'API Screen DB Mapping'!C6))"),"Quản trị web")</f>
        <v>Quản trị web</v>
      </c>
      <c r="D6" s="40" t="str">
        <f>IF('API Screen DB Mapping'!D6="","",'API Screen DB Mapping'!D6)</f>
        <v>/api/admin</v>
      </c>
      <c r="E6" s="40" t="str">
        <f>IF('API Screen DB Mapping'!E6="","",'API Screen DB Mapping'!E6)</f>
        <v>GET/POST/PATCH</v>
      </c>
      <c r="F6" s="40" t="str">
        <f>IF('API Screen DB Mapping'!F6="","",'API Screen DB Mapping'!F6)</f>
        <v>TBD</v>
      </c>
      <c r="G6" s="40" t="str">
        <f>IF('API Screen DB Mapping'!G6="","",'API Screen DB Mapping'!G6)</f>
        <v>TBD</v>
      </c>
      <c r="H6" s="40" t="str">
        <f>IF('API Screen DB Mapping'!H6="","",'API Screen DB Mapping'!H6)</f>
        <v>SubscriptionPlan, FamilyWorkspace, ProvisioningLog, AccountStatus</v>
      </c>
      <c r="I6" s="40" t="str">
        <f>IF('API Screen DB Mapping'!I6="","",'API Screen DB Mapping'!I6)</f>
        <v/>
      </c>
      <c r="J6" s="40" t="str">
        <f>IF('API Screen DB Mapping'!J6="","",'API Screen DB Mapping'!J6)</f>
        <v/>
      </c>
      <c r="K6" s="40" t="str">
        <f>IF('API Screen DB Mapping'!K6="","",SWITCH('API Screen DB Mapping'!K6,"Not Started","Chưa bắt đầu","In Progress","Đang làm","Done","Hoàn thành",'API Screen DB Mapping'!K6))</f>
        <v>Chưa bắt đầu</v>
      </c>
      <c r="L6" s="40" t="str">
        <f>IFERROR(__xludf.DUMMYFUNCTION("IF('API Screen DB Mapping'!L6="""","""",IFERROR(GOOGLETRANSLATE('API Screen DB Mapping'!L6,""en"",""vi""),'API Screen DB Mapping'!L6))"),"Thêm điểm cuối chính xác sau khi thiết kế API.")</f>
        <v>Thêm điểm cuối chính xác sau khi thiết kế API.</v>
      </c>
    </row>
    <row r="7" ht="22.5" customHeight="1">
      <c r="A7" s="40" t="str">
        <f>IF('API Screen DB Mapping'!A7="","",'API Screen DB Mapping'!A7)</f>
        <v>UC06</v>
      </c>
      <c r="B7" s="40" t="str">
        <f>IFERROR(__xludf.DUMMYFUNCTION("IF('API Screen DB Mapping'!B7="""","""",IFERROR(GOOGLETRANSLATE('API Screen DB Mapping'!B7,""en"",""vi""),'API Screen DB Mapping'!B7))"),"Xem nhật ký cấp phép không gian làm việc")</f>
        <v>Xem nhật ký cấp phép không gian làm việc</v>
      </c>
      <c r="C7" s="40" t="str">
        <f>IFERROR(__xludf.DUMMYFUNCTION("IF('API Screen DB Mapping'!C7="""","""",IFERROR(GOOGLETRANSLATE('API Screen DB Mapping'!C7,""en"",""vi""),'API Screen DB Mapping'!C7))"),"Quản trị web")</f>
        <v>Quản trị web</v>
      </c>
      <c r="D7" s="40" t="str">
        <f>IF('API Screen DB Mapping'!D7="","",'API Screen DB Mapping'!D7)</f>
        <v>/api/admin</v>
      </c>
      <c r="E7" s="40" t="str">
        <f>IF('API Screen DB Mapping'!E7="","",'API Screen DB Mapping'!E7)</f>
        <v>GET/POST/PATCH</v>
      </c>
      <c r="F7" s="40" t="str">
        <f>IF('API Screen DB Mapping'!F7="","",'API Screen DB Mapping'!F7)</f>
        <v>TBD</v>
      </c>
      <c r="G7" s="40" t="str">
        <f>IF('API Screen DB Mapping'!G7="","",'API Screen DB Mapping'!G7)</f>
        <v>TBD</v>
      </c>
      <c r="H7" s="40" t="str">
        <f>IF('API Screen DB Mapping'!H7="","",'API Screen DB Mapping'!H7)</f>
        <v>SubscriptionPlan, FamilyWorkspace, ProvisioningLog, AccountStatus</v>
      </c>
      <c r="I7" s="40" t="str">
        <f>IF('API Screen DB Mapping'!I7="","",'API Screen DB Mapping'!I7)</f>
        <v/>
      </c>
      <c r="J7" s="40" t="str">
        <f>IF('API Screen DB Mapping'!J7="","",'API Screen DB Mapping'!J7)</f>
        <v/>
      </c>
      <c r="K7" s="40" t="str">
        <f>IF('API Screen DB Mapping'!K7="","",SWITCH('API Screen DB Mapping'!K7,"Not Started","Chưa bắt đầu","In Progress","Đang làm","Done","Hoàn thành",'API Screen DB Mapping'!K7))</f>
        <v>Chưa bắt đầu</v>
      </c>
      <c r="L7" s="40" t="str">
        <f>IFERROR(__xludf.DUMMYFUNCTION("IF('API Screen DB Mapping'!L7="""","""",IFERROR(GOOGLETRANSLATE('API Screen DB Mapping'!L7,""en"",""vi""),'API Screen DB Mapping'!L7))"),"Thêm điểm cuối chính xác sau khi thiết kế API.")</f>
        <v>Thêm điểm cuối chính xác sau khi thiết kế API.</v>
      </c>
    </row>
    <row r="8" ht="22.5" customHeight="1">
      <c r="A8" s="40" t="str">
        <f>IF('API Screen DB Mapping'!A8="","",'API Screen DB Mapping'!A8)</f>
        <v>UC07</v>
      </c>
      <c r="B8" s="40" t="str">
        <f>IFERROR(__xludf.DUMMYFUNCTION("IF('API Screen DB Mapping'!B8="""","""",IFERROR(GOOGLETRANSLATE('API Screen DB Mapping'!B8,""en"",""vi""),'API Screen DB Mapping'!B8))"),"Thử lại việc cấp phát không gian làm việc")</f>
        <v>Thử lại việc cấp phát không gian làm việc</v>
      </c>
      <c r="C8" s="40" t="str">
        <f>IFERROR(__xludf.DUMMYFUNCTION("IF('API Screen DB Mapping'!C8="""","""",IFERROR(GOOGLETRANSLATE('API Screen DB Mapping'!C8,""en"",""vi""),'API Screen DB Mapping'!C8))"),"Quản trị web")</f>
        <v>Quản trị web</v>
      </c>
      <c r="D8" s="40" t="str">
        <f>IF('API Screen DB Mapping'!D8="","",'API Screen DB Mapping'!D8)</f>
        <v>/api/admin</v>
      </c>
      <c r="E8" s="40" t="str">
        <f>IF('API Screen DB Mapping'!E8="","",'API Screen DB Mapping'!E8)</f>
        <v>GET/POST/PATCH</v>
      </c>
      <c r="F8" s="40" t="str">
        <f>IF('API Screen DB Mapping'!F8="","",'API Screen DB Mapping'!F8)</f>
        <v>TBD</v>
      </c>
      <c r="G8" s="40" t="str">
        <f>IF('API Screen DB Mapping'!G8="","",'API Screen DB Mapping'!G8)</f>
        <v>TBD</v>
      </c>
      <c r="H8" s="40" t="str">
        <f>IF('API Screen DB Mapping'!H8="","",'API Screen DB Mapping'!H8)</f>
        <v>SubscriptionPlan, FamilyWorkspace, ProvisioningLog, AccountStatus</v>
      </c>
      <c r="I8" s="40" t="str">
        <f>IF('API Screen DB Mapping'!I8="","",'API Screen DB Mapping'!I8)</f>
        <v/>
      </c>
      <c r="J8" s="40" t="str">
        <f>IF('API Screen DB Mapping'!J8="","",'API Screen DB Mapping'!J8)</f>
        <v/>
      </c>
      <c r="K8" s="40" t="str">
        <f>IF('API Screen DB Mapping'!K8="","",SWITCH('API Screen DB Mapping'!K8,"Not Started","Chưa bắt đầu","In Progress","Đang làm","Done","Hoàn thành",'API Screen DB Mapping'!K8))</f>
        <v>Chưa bắt đầu</v>
      </c>
      <c r="L8" s="40" t="str">
        <f>IFERROR(__xludf.DUMMYFUNCTION("IF('API Screen DB Mapping'!L8="""","""",IFERROR(GOOGLETRANSLATE('API Screen DB Mapping'!L8,""en"",""vi""),'API Screen DB Mapping'!L8))"),"Thêm điểm cuối chính xác sau khi thiết kế API.")</f>
        <v>Thêm điểm cuối chính xác sau khi thiết kế API.</v>
      </c>
    </row>
    <row r="9" ht="22.5" customHeight="1">
      <c r="A9" s="40" t="str">
        <f>IF('API Screen DB Mapping'!A9="","",'API Screen DB Mapping'!A9)</f>
        <v>UC08</v>
      </c>
      <c r="B9" s="40" t="str">
        <f>IFERROR(__xludf.DUMMYFUNCTION("IF('API Screen DB Mapping'!B9="""","""",IFERROR(GOOGLETRANSLATE('API Screen DB Mapping'!B9,""en"",""vi""),'API Screen DB Mapping'!B9))"),"Xem tóm tắt gói đăng ký cơ bản")</f>
        <v>Xem tóm tắt gói đăng ký cơ bản</v>
      </c>
      <c r="C9" s="40" t="str">
        <f>IFERROR(__xludf.DUMMYFUNCTION("IF('API Screen DB Mapping'!C9="""","""",IFERROR(GOOGLETRANSLATE('API Screen DB Mapping'!C9,""en"",""vi""),'API Screen DB Mapping'!C9))"),"Quản trị web")</f>
        <v>Quản trị web</v>
      </c>
      <c r="D9" s="40" t="str">
        <f>IF('API Screen DB Mapping'!D9="","",'API Screen DB Mapping'!D9)</f>
        <v>/api/admin</v>
      </c>
      <c r="E9" s="40" t="str">
        <f>IF('API Screen DB Mapping'!E9="","",'API Screen DB Mapping'!E9)</f>
        <v>GET/POST/PATCH</v>
      </c>
      <c r="F9" s="40" t="str">
        <f>IF('API Screen DB Mapping'!F9="","",'API Screen DB Mapping'!F9)</f>
        <v>TBD</v>
      </c>
      <c r="G9" s="40" t="str">
        <f>IF('API Screen DB Mapping'!G9="","",'API Screen DB Mapping'!G9)</f>
        <v>TBD</v>
      </c>
      <c r="H9" s="40" t="str">
        <f>IF('API Screen DB Mapping'!H9="","",'API Screen DB Mapping'!H9)</f>
        <v>SubscriptionPlan, FamilyWorkspace, ProvisioningLog, AccountStatus</v>
      </c>
      <c r="I9" s="40" t="str">
        <f>IF('API Screen DB Mapping'!I9="","",'API Screen DB Mapping'!I9)</f>
        <v/>
      </c>
      <c r="J9" s="40" t="str">
        <f>IF('API Screen DB Mapping'!J9="","",'API Screen DB Mapping'!J9)</f>
        <v/>
      </c>
      <c r="K9" s="40" t="str">
        <f>IF('API Screen DB Mapping'!K9="","",SWITCH('API Screen DB Mapping'!K9,"Not Started","Chưa bắt đầu","In Progress","Đang làm","Done","Hoàn thành",'API Screen DB Mapping'!K9))</f>
        <v>Chưa bắt đầu</v>
      </c>
      <c r="L9" s="40" t="str">
        <f>IFERROR(__xludf.DUMMYFUNCTION("IF('API Screen DB Mapping'!L9="""","""",IFERROR(GOOGLETRANSLATE('API Screen DB Mapping'!L9,""en"",""vi""),'API Screen DB Mapping'!L9))"),"Thêm điểm cuối chính xác sau khi thiết kế API.")</f>
        <v>Thêm điểm cuối chính xác sau khi thiết kế API.</v>
      </c>
    </row>
    <row r="10" ht="22.5" customHeight="1">
      <c r="A10" s="40" t="str">
        <f>IF('API Screen DB Mapping'!A10="","",'API Screen DB Mapping'!A10)</f>
        <v>UC09</v>
      </c>
      <c r="B10" s="40" t="str">
        <f>IFERROR(__xludf.DUMMYFUNCTION("IF('API Screen DB Mapping'!B10="""","""",IFERROR(GOOGLETRANSLATE('API Screen DB Mapping'!B10,""en"",""vi""),'API Screen DB Mapping'!B10))"),"Đăng ký tài khoản")</f>
        <v>Đăng ký tài khoản</v>
      </c>
      <c r="C10" s="40" t="str">
        <f>IFERROR(__xludf.DUMMYFUNCTION("IF('API Screen DB Mapping'!C10="""","""",IFERROR(GOOGLETRANSLATE('API Screen DB Mapping'!C10,""en"",""vi""),'API Screen DB Mapping'!C10))"),"Flutter Mobile")</f>
        <v>Flutter Mobile</v>
      </c>
      <c r="D10" s="40" t="str">
        <f>IF('API Screen DB Mapping'!D10="","",'API Screen DB Mapping'!D10)</f>
        <v>/api/auth</v>
      </c>
      <c r="E10" s="40" t="str">
        <f>IF('API Screen DB Mapping'!E10="","",'API Screen DB Mapping'!E10)</f>
        <v>POST</v>
      </c>
      <c r="F10" s="40" t="str">
        <f>IF('API Screen DB Mapping'!F10="","",'API Screen DB Mapping'!F10)</f>
        <v>TBD</v>
      </c>
      <c r="G10" s="40" t="str">
        <f>IF('API Screen DB Mapping'!G10="","",'API Screen DB Mapping'!G10)</f>
        <v>TBD</v>
      </c>
      <c r="H10" s="40" t="str">
        <f>IF('API Screen DB Mapping'!H10="","",'API Screen DB Mapping'!H10)</f>
        <v>User, AuthSession</v>
      </c>
      <c r="I10" s="40" t="str">
        <f>IF('API Screen DB Mapping'!I10="","",'API Screen DB Mapping'!I10)</f>
        <v/>
      </c>
      <c r="J10" s="40" t="str">
        <f>IF('API Screen DB Mapping'!J10="","",'API Screen DB Mapping'!J10)</f>
        <v/>
      </c>
      <c r="K10" s="40" t="str">
        <f>IF('API Screen DB Mapping'!K10="","",SWITCH('API Screen DB Mapping'!K10,"Not Started","Chưa bắt đầu","In Progress","Đang làm","Done","Hoàn thành",'API Screen DB Mapping'!K10))</f>
        <v>Chưa bắt đầu</v>
      </c>
      <c r="L10" s="40" t="str">
        <f>IFERROR(__xludf.DUMMYFUNCTION("IF('API Screen DB Mapping'!L10="""","""",IFERROR(GOOGLETRANSLATE('API Screen DB Mapping'!L10,""en"",""vi""),'API Screen DB Mapping'!L10))"),"Thêm điểm cuối chính xác sau khi thiết kế API.")</f>
        <v>Thêm điểm cuối chính xác sau khi thiết kế API.</v>
      </c>
    </row>
    <row r="11" ht="22.5" customHeight="1">
      <c r="A11" s="40" t="str">
        <f>IF('API Screen DB Mapping'!A11="","",'API Screen DB Mapping'!A11)</f>
        <v>UC10</v>
      </c>
      <c r="B11" s="40" t="str">
        <f>IFERROR(__xludf.DUMMYFUNCTION("IF('API Screen DB Mapping'!B11="""","""",IFERROR(GOOGLETRANSLATE('API Screen DB Mapping'!B11,""en"",""vi""),'API Screen DB Mapping'!B11))"),"Xác minh tài khoản")</f>
        <v>Xác minh tài khoản</v>
      </c>
      <c r="C11" s="40" t="str">
        <f>IFERROR(__xludf.DUMMYFUNCTION("IF('API Screen DB Mapping'!C11="""","""",IFERROR(GOOGLETRANSLATE('API Screen DB Mapping'!C11,""en"",""vi""),'API Screen DB Mapping'!C11))"),"Flutter Mobile")</f>
        <v>Flutter Mobile</v>
      </c>
      <c r="D11" s="40" t="str">
        <f>IF('API Screen DB Mapping'!D11="","",'API Screen DB Mapping'!D11)</f>
        <v>/api/auth</v>
      </c>
      <c r="E11" s="40" t="str">
        <f>IF('API Screen DB Mapping'!E11="","",'API Screen DB Mapping'!E11)</f>
        <v>POST</v>
      </c>
      <c r="F11" s="40" t="str">
        <f>IF('API Screen DB Mapping'!F11="","",'API Screen DB Mapping'!F11)</f>
        <v>TBD</v>
      </c>
      <c r="G11" s="40" t="str">
        <f>IF('API Screen DB Mapping'!G11="","",'API Screen DB Mapping'!G11)</f>
        <v>TBD</v>
      </c>
      <c r="H11" s="40" t="str">
        <f>IF('API Screen DB Mapping'!H11="","",'API Screen DB Mapping'!H11)</f>
        <v>User, AuthSession</v>
      </c>
      <c r="I11" s="40" t="str">
        <f>IF('API Screen DB Mapping'!I11="","",'API Screen DB Mapping'!I11)</f>
        <v/>
      </c>
      <c r="J11" s="40" t="str">
        <f>IF('API Screen DB Mapping'!J11="","",'API Screen DB Mapping'!J11)</f>
        <v/>
      </c>
      <c r="K11" s="40" t="str">
        <f>IF('API Screen DB Mapping'!K11="","",SWITCH('API Screen DB Mapping'!K11,"Not Started","Chưa bắt đầu","In Progress","Đang làm","Done","Hoàn thành",'API Screen DB Mapping'!K11))</f>
        <v>Chưa bắt đầu</v>
      </c>
      <c r="L11" s="40" t="str">
        <f>IFERROR(__xludf.DUMMYFUNCTION("IF('API Screen DB Mapping'!L11="""","""",IFERROR(GOOGLETRANSLATE('API Screen DB Mapping'!L11,""en"",""vi""),'API Screen DB Mapping'!L11))"),"Thêm điểm cuối chính xác sau khi thiết kế API.")</f>
        <v>Thêm điểm cuối chính xác sau khi thiết kế API.</v>
      </c>
    </row>
    <row r="12" ht="22.5" customHeight="1">
      <c r="A12" s="40" t="str">
        <f>IF('API Screen DB Mapping'!A12="","",'API Screen DB Mapping'!A12)</f>
        <v>UC11</v>
      </c>
      <c r="B12" s="40" t="str">
        <f>IFERROR(__xludf.DUMMYFUNCTION("IF('API Screen DB Mapping'!B12="""","""",IFERROR(GOOGLETRANSLATE('API Screen DB Mapping'!B12,""en"",""vi""),'API Screen DB Mapping'!B12))"),"Đăng nhập / Đăng xuất")</f>
        <v>Đăng nhập / Đăng xuất</v>
      </c>
      <c r="C12" s="40" t="str">
        <f>IFERROR(__xludf.DUMMYFUNCTION("IF('API Screen DB Mapping'!C12="""","""",IFERROR(GOOGLETRANSLATE('API Screen DB Mapping'!C12,""en"",""vi""),'API Screen DB Mapping'!C12))"),"Flutter Mobile")</f>
        <v>Flutter Mobile</v>
      </c>
      <c r="D12" s="40" t="str">
        <f>IF('API Screen DB Mapping'!D12="","",'API Screen DB Mapping'!D12)</f>
        <v>/api/auth</v>
      </c>
      <c r="E12" s="40" t="str">
        <f>IF('API Screen DB Mapping'!E12="","",'API Screen DB Mapping'!E12)</f>
        <v>POST</v>
      </c>
      <c r="F12" s="40" t="str">
        <f>IF('API Screen DB Mapping'!F12="","",'API Screen DB Mapping'!F12)</f>
        <v>TBD</v>
      </c>
      <c r="G12" s="40" t="str">
        <f>IF('API Screen DB Mapping'!G12="","",'API Screen DB Mapping'!G12)</f>
        <v>TBD</v>
      </c>
      <c r="H12" s="40" t="str">
        <f>IF('API Screen DB Mapping'!H12="","",'API Screen DB Mapping'!H12)</f>
        <v>User, AuthSession</v>
      </c>
      <c r="I12" s="40" t="str">
        <f>IF('API Screen DB Mapping'!I12="","",'API Screen DB Mapping'!I12)</f>
        <v/>
      </c>
      <c r="J12" s="40" t="str">
        <f>IF('API Screen DB Mapping'!J12="","",'API Screen DB Mapping'!J12)</f>
        <v/>
      </c>
      <c r="K12" s="40" t="str">
        <f>IF('API Screen DB Mapping'!K12="","",SWITCH('API Screen DB Mapping'!K12,"Not Started","Chưa bắt đầu","In Progress","Đang làm","Done","Hoàn thành",'API Screen DB Mapping'!K12))</f>
        <v>Chưa bắt đầu</v>
      </c>
      <c r="L12" s="40" t="str">
        <f>IFERROR(__xludf.DUMMYFUNCTION("IF('API Screen DB Mapping'!L12="""","""",IFERROR(GOOGLETRANSLATE('API Screen DB Mapping'!L12,""en"",""vi""),'API Screen DB Mapping'!L12))"),"Thêm điểm cuối chính xác sau khi thiết kế API.")</f>
        <v>Thêm điểm cuối chính xác sau khi thiết kế API.</v>
      </c>
    </row>
    <row r="13" ht="22.5" customHeight="1">
      <c r="A13" s="40" t="str">
        <f>IF('API Screen DB Mapping'!A13="","",'API Screen DB Mapping'!A13)</f>
        <v>UC12</v>
      </c>
      <c r="B13" s="40" t="str">
        <f>IFERROR(__xludf.DUMMYFUNCTION("IF('API Screen DB Mapping'!B13="""","""",IFERROR(GOOGLETRANSLATE('API Screen DB Mapping'!B13,""en"",""vi""),'API Screen DB Mapping'!B13))"),"Tạo không gian làm việc gia đình với gói mặc định")</f>
        <v>Tạo không gian làm việc gia đình với gói mặc định</v>
      </c>
      <c r="C13" s="40" t="str">
        <f>IFERROR(__xludf.DUMMYFUNCTION("IF('API Screen DB Mapping'!C13="""","""",IFERROR(GOOGLETRANSLATE('API Screen DB Mapping'!C13,""en"",""vi""),'API Screen DB Mapping'!C13))"),"Flutter Mobile")</f>
        <v>Flutter Mobile</v>
      </c>
      <c r="D13" s="40" t="str">
        <f>IF('API Screen DB Mapping'!D13="","",'API Screen DB Mapping'!D13)</f>
        <v>/api/families</v>
      </c>
      <c r="E13" s="40" t="str">
        <f>IF('API Screen DB Mapping'!E13="","",'API Screen DB Mapping'!E13)</f>
        <v>GET/POST/PATCH</v>
      </c>
      <c r="F13" s="40" t="str">
        <f>IF('API Screen DB Mapping'!F13="","",'API Screen DB Mapping'!F13)</f>
        <v>TBD</v>
      </c>
      <c r="G13" s="40" t="str">
        <f>IF('API Screen DB Mapping'!G13="","",'API Screen DB Mapping'!G13)</f>
        <v>TBD</v>
      </c>
      <c r="H13" s="40" t="str">
        <f>IF('API Screen DB Mapping'!H13="","",'API Screen DB Mapping'!H13)</f>
        <v>Family, FamilyMember, Invitation, RolePermission</v>
      </c>
      <c r="I13" s="40" t="str">
        <f>IF('API Screen DB Mapping'!I13="","",'API Screen DB Mapping'!I13)</f>
        <v/>
      </c>
      <c r="J13" s="40" t="str">
        <f>IF('API Screen DB Mapping'!J13="","",'API Screen DB Mapping'!J13)</f>
        <v/>
      </c>
      <c r="K13" s="40" t="str">
        <f>IF('API Screen DB Mapping'!K13="","",SWITCH('API Screen DB Mapping'!K13,"Not Started","Chưa bắt đầu","In Progress","Đang làm","Done","Hoàn thành",'API Screen DB Mapping'!K13))</f>
        <v>Chưa bắt đầu</v>
      </c>
      <c r="L13" s="40" t="str">
        <f>IFERROR(__xludf.DUMMYFUNCTION("IF('API Screen DB Mapping'!L13="""","""",IFERROR(GOOGLETRANSLATE('API Screen DB Mapping'!L13,""en"",""vi""),'API Screen DB Mapping'!L13))"),"Thêm điểm cuối chính xác sau khi thiết kế API.")</f>
        <v>Thêm điểm cuối chính xác sau khi thiết kế API.</v>
      </c>
    </row>
    <row r="14" ht="22.5" customHeight="1">
      <c r="A14" s="40" t="str">
        <f>IF('API Screen DB Mapping'!A14="","",'API Screen DB Mapping'!A14)</f>
        <v>UC13</v>
      </c>
      <c r="B14" s="40" t="str">
        <f>IFERROR(__xludf.DUMMYFUNCTION("IF('API Screen DB Mapping'!B14="""","""",IFERROR(GOOGLETRANSLATE('API Screen DB Mapping'!B14,""en"",""vi""),'API Screen DB Mapping'!B14))"),"Tham gia gia đình qua liên kết mời")</f>
        <v>Tham gia gia đình qua liên kết mời</v>
      </c>
      <c r="C14" s="40" t="str">
        <f>IFERROR(__xludf.DUMMYFUNCTION("IF('API Screen DB Mapping'!C14="""","""",IFERROR(GOOGLETRANSLATE('API Screen DB Mapping'!C14,""en"",""vi""),'API Screen DB Mapping'!C14))"),"Flutter Mobile")</f>
        <v>Flutter Mobile</v>
      </c>
      <c r="D14" s="40" t="str">
        <f>IF('API Screen DB Mapping'!D14="","",'API Screen DB Mapping'!D14)</f>
        <v>/api/families</v>
      </c>
      <c r="E14" s="40" t="str">
        <f>IF('API Screen DB Mapping'!E14="","",'API Screen DB Mapping'!E14)</f>
        <v>GET/POST/PATCH</v>
      </c>
      <c r="F14" s="40" t="str">
        <f>IF('API Screen DB Mapping'!F14="","",'API Screen DB Mapping'!F14)</f>
        <v>TBD</v>
      </c>
      <c r="G14" s="40" t="str">
        <f>IF('API Screen DB Mapping'!G14="","",'API Screen DB Mapping'!G14)</f>
        <v>TBD</v>
      </c>
      <c r="H14" s="40" t="str">
        <f>IF('API Screen DB Mapping'!H14="","",'API Screen DB Mapping'!H14)</f>
        <v>Family, FamilyMember, Invitation, RolePermission</v>
      </c>
      <c r="I14" s="40" t="str">
        <f>IF('API Screen DB Mapping'!I14="","",'API Screen DB Mapping'!I14)</f>
        <v/>
      </c>
      <c r="J14" s="40" t="str">
        <f>IF('API Screen DB Mapping'!J14="","",'API Screen DB Mapping'!J14)</f>
        <v/>
      </c>
      <c r="K14" s="40" t="str">
        <f>IF('API Screen DB Mapping'!K14="","",SWITCH('API Screen DB Mapping'!K14,"Not Started","Chưa bắt đầu","In Progress","Đang làm","Done","Hoàn thành",'API Screen DB Mapping'!K14))</f>
        <v>Chưa bắt đầu</v>
      </c>
      <c r="L14" s="40" t="str">
        <f>IFERROR(__xludf.DUMMYFUNCTION("IF('API Screen DB Mapping'!L14="""","""",IFERROR(GOOGLETRANSLATE('API Screen DB Mapping'!L14,""en"",""vi""),'API Screen DB Mapping'!L14))"),"Thêm điểm cuối chính xác sau khi thiết kế API.")</f>
        <v>Thêm điểm cuối chính xác sau khi thiết kế API.</v>
      </c>
    </row>
    <row r="15" ht="22.5" customHeight="1">
      <c r="A15" s="40" t="str">
        <f>IF('API Screen DB Mapping'!A15="","",'API Screen DB Mapping'!A15)</f>
        <v>UC14</v>
      </c>
      <c r="B15" s="40" t="str">
        <f>IFERROR(__xludf.DUMMYFUNCTION("IF('API Screen DB Mapping'!B15="""","""",IFERROR(GOOGLETRANSLATE('API Screen DB Mapping'!B15,""en"",""vi""),'API Screen DB Mapping'!B15))"),"Quản lý hồ sơ gia đình")</f>
        <v>Quản lý hồ sơ gia đình</v>
      </c>
      <c r="C15" s="40" t="str">
        <f>IFERROR(__xludf.DUMMYFUNCTION("IF('API Screen DB Mapping'!C15="""","""",IFERROR(GOOGLETRANSLATE('API Screen DB Mapping'!C15,""en"",""vi""),'API Screen DB Mapping'!C15))"),"Flutter Mobile")</f>
        <v>Flutter Mobile</v>
      </c>
      <c r="D15" s="40" t="str">
        <f>IF('API Screen DB Mapping'!D15="","",'API Screen DB Mapping'!D15)</f>
        <v>/api/families</v>
      </c>
      <c r="E15" s="40" t="str">
        <f>IF('API Screen DB Mapping'!E15="","",'API Screen DB Mapping'!E15)</f>
        <v>GET/POST/PATCH</v>
      </c>
      <c r="F15" s="40" t="str">
        <f>IF('API Screen DB Mapping'!F15="","",'API Screen DB Mapping'!F15)</f>
        <v>TBD</v>
      </c>
      <c r="G15" s="40" t="str">
        <f>IF('API Screen DB Mapping'!G15="","",'API Screen DB Mapping'!G15)</f>
        <v>TBD</v>
      </c>
      <c r="H15" s="40" t="str">
        <f>IF('API Screen DB Mapping'!H15="","",'API Screen DB Mapping'!H15)</f>
        <v>Family, FamilyMember, Invitation, RolePermission</v>
      </c>
      <c r="I15" s="40" t="str">
        <f>IF('API Screen DB Mapping'!I15="","",'API Screen DB Mapping'!I15)</f>
        <v/>
      </c>
      <c r="J15" s="40" t="str">
        <f>IF('API Screen DB Mapping'!J15="","",'API Screen DB Mapping'!J15)</f>
        <v/>
      </c>
      <c r="K15" s="40" t="str">
        <f>IF('API Screen DB Mapping'!K15="","",SWITCH('API Screen DB Mapping'!K15,"Not Started","Chưa bắt đầu","In Progress","Đang làm","Done","Hoàn thành",'API Screen DB Mapping'!K15))</f>
        <v>Chưa bắt đầu</v>
      </c>
      <c r="L15" s="40" t="str">
        <f>IFERROR(__xludf.DUMMYFUNCTION("IF('API Screen DB Mapping'!L15="""","""",IFERROR(GOOGLETRANSLATE('API Screen DB Mapping'!L15,""en"",""vi""),'API Screen DB Mapping'!L15))"),"Thêm điểm cuối chính xác sau khi thiết kế API.")</f>
        <v>Thêm điểm cuối chính xác sau khi thiết kế API.</v>
      </c>
    </row>
    <row r="16" ht="22.5" customHeight="1">
      <c r="A16" s="40" t="str">
        <f>IF('API Screen DB Mapping'!A16="","",'API Screen DB Mapping'!A16)</f>
        <v>UC15</v>
      </c>
      <c r="B16" s="40" t="str">
        <f>IFERROR(__xludf.DUMMYFUNCTION("IF('API Screen DB Mapping'!B16="""","""",IFERROR(GOOGLETRANSLATE('API Screen DB Mapping'!B16,""en"",""vi""),'API Screen DB Mapping'!B16))"),"Mời thành viên gia đình")</f>
        <v>Mời thành viên gia đình</v>
      </c>
      <c r="C16" s="40" t="str">
        <f>IFERROR(__xludf.DUMMYFUNCTION("IF('API Screen DB Mapping'!C16="""","""",IFERROR(GOOGLETRANSLATE('API Screen DB Mapping'!C16,""en"",""vi""),'API Screen DB Mapping'!C16))"),"Flutter Mobile")</f>
        <v>Flutter Mobile</v>
      </c>
      <c r="D16" s="40" t="str">
        <f>IF('API Screen DB Mapping'!D16="","",'API Screen DB Mapping'!D16)</f>
        <v>/api/families</v>
      </c>
      <c r="E16" s="40" t="str">
        <f>IF('API Screen DB Mapping'!E16="","",'API Screen DB Mapping'!E16)</f>
        <v>GET/POST/PATCH</v>
      </c>
      <c r="F16" s="40" t="str">
        <f>IF('API Screen DB Mapping'!F16="","",'API Screen DB Mapping'!F16)</f>
        <v>TBD</v>
      </c>
      <c r="G16" s="40" t="str">
        <f>IF('API Screen DB Mapping'!G16="","",'API Screen DB Mapping'!G16)</f>
        <v>TBD</v>
      </c>
      <c r="H16" s="40" t="str">
        <f>IF('API Screen DB Mapping'!H16="","",'API Screen DB Mapping'!H16)</f>
        <v>Family, FamilyMember, Invitation, RolePermission</v>
      </c>
      <c r="I16" s="40" t="str">
        <f>IF('API Screen DB Mapping'!I16="","",'API Screen DB Mapping'!I16)</f>
        <v/>
      </c>
      <c r="J16" s="40" t="str">
        <f>IF('API Screen DB Mapping'!J16="","",'API Screen DB Mapping'!J16)</f>
        <v/>
      </c>
      <c r="K16" s="40" t="str">
        <f>IF('API Screen DB Mapping'!K16="","",SWITCH('API Screen DB Mapping'!K16,"Not Started","Chưa bắt đầu","In Progress","Đang làm","Done","Hoàn thành",'API Screen DB Mapping'!K16))</f>
        <v>Chưa bắt đầu</v>
      </c>
      <c r="L16" s="40" t="str">
        <f>IFERROR(__xludf.DUMMYFUNCTION("IF('API Screen DB Mapping'!L16="""","""",IFERROR(GOOGLETRANSLATE('API Screen DB Mapping'!L16,""en"",""vi""),'API Screen DB Mapping'!L16))"),"Thêm điểm cuối chính xác sau khi thiết kế API.")</f>
        <v>Thêm điểm cuối chính xác sau khi thiết kế API.</v>
      </c>
    </row>
    <row r="17" ht="22.5" customHeight="1">
      <c r="A17" s="40" t="str">
        <f>IF('API Screen DB Mapping'!A17="","",'API Screen DB Mapping'!A17)</f>
        <v>UC16</v>
      </c>
      <c r="B17" s="40" t="str">
        <f>IFERROR(__xludf.DUMMYFUNCTION("IF('API Screen DB Mapping'!B17="""","""",IFERROR(GOOGLETRANSLATE('API Screen DB Mapping'!B17,""en"",""vi""),'API Screen DB Mapping'!B17))"),"Quản lý lời mời gia đình")</f>
        <v>Quản lý lời mời gia đình</v>
      </c>
      <c r="C17" s="40" t="str">
        <f>IFERROR(__xludf.DUMMYFUNCTION("IF('API Screen DB Mapping'!C17="""","""",IFERROR(GOOGLETRANSLATE('API Screen DB Mapping'!C17,""en"",""vi""),'API Screen DB Mapping'!C17))"),"Flutter Mobile")</f>
        <v>Flutter Mobile</v>
      </c>
      <c r="D17" s="40" t="str">
        <f>IF('API Screen DB Mapping'!D17="","",'API Screen DB Mapping'!D17)</f>
        <v>/api/families</v>
      </c>
      <c r="E17" s="40" t="str">
        <f>IF('API Screen DB Mapping'!E17="","",'API Screen DB Mapping'!E17)</f>
        <v>GET/POST/PATCH</v>
      </c>
      <c r="F17" s="40" t="str">
        <f>IF('API Screen DB Mapping'!F17="","",'API Screen DB Mapping'!F17)</f>
        <v>TBD</v>
      </c>
      <c r="G17" s="40" t="str">
        <f>IF('API Screen DB Mapping'!G17="","",'API Screen DB Mapping'!G17)</f>
        <v>TBD</v>
      </c>
      <c r="H17" s="40" t="str">
        <f>IF('API Screen DB Mapping'!H17="","",'API Screen DB Mapping'!H17)</f>
        <v>Family, FamilyMember, Invitation, RolePermission</v>
      </c>
      <c r="I17" s="40" t="str">
        <f>IF('API Screen DB Mapping'!I17="","",'API Screen DB Mapping'!I17)</f>
        <v/>
      </c>
      <c r="J17" s="40" t="str">
        <f>IF('API Screen DB Mapping'!J17="","",'API Screen DB Mapping'!J17)</f>
        <v/>
      </c>
      <c r="K17" s="40" t="str">
        <f>IF('API Screen DB Mapping'!K17="","",SWITCH('API Screen DB Mapping'!K17,"Not Started","Chưa bắt đầu","In Progress","Đang làm","Done","Hoàn thành",'API Screen DB Mapping'!K17))</f>
        <v>Chưa bắt đầu</v>
      </c>
      <c r="L17" s="40" t="str">
        <f>IFERROR(__xludf.DUMMYFUNCTION("IF('API Screen DB Mapping'!L17="""","""",IFERROR(GOOGLETRANSLATE('API Screen DB Mapping'!L17,""en"",""vi""),'API Screen DB Mapping'!L17))"),"Thêm điểm cuối chính xác sau khi thiết kế API.")</f>
        <v>Thêm điểm cuối chính xác sau khi thiết kế API.</v>
      </c>
    </row>
    <row r="18" ht="22.5" customHeight="1">
      <c r="A18" s="40" t="str">
        <f>IF('API Screen DB Mapping'!A18="","",'API Screen DB Mapping'!A18)</f>
        <v>UC17</v>
      </c>
      <c r="B18" s="40" t="str">
        <f>IFERROR(__xludf.DUMMYFUNCTION("IF('API Screen DB Mapping'!B18="""","""",IFERROR(GOOGLETRANSLATE('API Screen DB Mapping'!B18,""en"",""vi""),'API Screen DB Mapping'!B18))"),"Quản lý vai trò và mối quan hệ của thành viên")</f>
        <v>Quản lý vai trò và mối quan hệ của thành viên</v>
      </c>
      <c r="C18" s="40" t="str">
        <f>IFERROR(__xludf.DUMMYFUNCTION("IF('API Screen DB Mapping'!C18="""","""",IFERROR(GOOGLETRANSLATE('API Screen DB Mapping'!C18,""en"",""vi""),'API Screen DB Mapping'!C18))"),"Flutter Mobile")</f>
        <v>Flutter Mobile</v>
      </c>
      <c r="D18" s="40" t="str">
        <f>IF('API Screen DB Mapping'!D18="","",'API Screen DB Mapping'!D18)</f>
        <v>/api/families</v>
      </c>
      <c r="E18" s="40" t="str">
        <f>IF('API Screen DB Mapping'!E18="","",'API Screen DB Mapping'!E18)</f>
        <v>GET/POST/PATCH</v>
      </c>
      <c r="F18" s="40" t="str">
        <f>IF('API Screen DB Mapping'!F18="","",'API Screen DB Mapping'!F18)</f>
        <v>TBD</v>
      </c>
      <c r="G18" s="40" t="str">
        <f>IF('API Screen DB Mapping'!G18="","",'API Screen DB Mapping'!G18)</f>
        <v>TBD</v>
      </c>
      <c r="H18" s="40" t="str">
        <f>IF('API Screen DB Mapping'!H18="","",'API Screen DB Mapping'!H18)</f>
        <v>Family, FamilyMember, Invitation, RolePermission</v>
      </c>
      <c r="I18" s="40" t="str">
        <f>IF('API Screen DB Mapping'!I18="","",'API Screen DB Mapping'!I18)</f>
        <v/>
      </c>
      <c r="J18" s="40" t="str">
        <f>IF('API Screen DB Mapping'!J18="","",'API Screen DB Mapping'!J18)</f>
        <v/>
      </c>
      <c r="K18" s="40" t="str">
        <f>IF('API Screen DB Mapping'!K18="","",SWITCH('API Screen DB Mapping'!K18,"Not Started","Chưa bắt đầu","In Progress","Đang làm","Done","Hoàn thành",'API Screen DB Mapping'!K18))</f>
        <v>Chưa bắt đầu</v>
      </c>
      <c r="L18" s="40" t="str">
        <f>IFERROR(__xludf.DUMMYFUNCTION("IF('API Screen DB Mapping'!L18="""","""",IFERROR(GOOGLETRANSLATE('API Screen DB Mapping'!L18,""en"",""vi""),'API Screen DB Mapping'!L18))"),"Thêm điểm cuối chính xác sau khi thiết kế API.")</f>
        <v>Thêm điểm cuối chính xác sau khi thiết kế API.</v>
      </c>
    </row>
    <row r="19" ht="22.5" customHeight="1">
      <c r="A19" s="40" t="str">
        <f>IF('API Screen DB Mapping'!A19="","",'API Screen DB Mapping'!A19)</f>
        <v>UC18</v>
      </c>
      <c r="B19" s="40" t="str">
        <f>IFERROR(__xludf.DUMMYFUNCTION("IF('API Screen DB Mapping'!B19="""","""",IFERROR(GOOGLETRANSLATE('API Screen DB Mapping'!B19,""en"",""vi""),'API Screen DB Mapping'!B19))"),"Cấp hoặc thu hồi quyền thay mặt")</f>
        <v>Cấp hoặc thu hồi quyền thay mặt</v>
      </c>
      <c r="C19" s="40" t="str">
        <f>IFERROR(__xludf.DUMMYFUNCTION("IF('API Screen DB Mapping'!C19="""","""",IFERROR(GOOGLETRANSLATE('API Screen DB Mapping'!C19,""en"",""vi""),'API Screen DB Mapping'!C19))"),"Flutter Mobile")</f>
        <v>Flutter Mobile</v>
      </c>
      <c r="D19" s="40" t="str">
        <f>IF('API Screen DB Mapping'!D19="","",'API Screen DB Mapping'!D19)</f>
        <v>/api/families</v>
      </c>
      <c r="E19" s="40" t="str">
        <f>IF('API Screen DB Mapping'!E19="","",'API Screen DB Mapping'!E19)</f>
        <v>GET/POST/PATCH</v>
      </c>
      <c r="F19" s="40" t="str">
        <f>IF('API Screen DB Mapping'!F19="","",'API Screen DB Mapping'!F19)</f>
        <v>TBD</v>
      </c>
      <c r="G19" s="40" t="str">
        <f>IF('API Screen DB Mapping'!G19="","",'API Screen DB Mapping'!G19)</f>
        <v>TBD</v>
      </c>
      <c r="H19" s="40" t="str">
        <f>IF('API Screen DB Mapping'!H19="","",'API Screen DB Mapping'!H19)</f>
        <v>Family, FamilyMember, Invitation, RolePermission</v>
      </c>
      <c r="I19" s="40" t="str">
        <f>IF('API Screen DB Mapping'!I19="","",'API Screen DB Mapping'!I19)</f>
        <v/>
      </c>
      <c r="J19" s="40" t="str">
        <f>IF('API Screen DB Mapping'!J19="","",'API Screen DB Mapping'!J19)</f>
        <v/>
      </c>
      <c r="K19" s="40" t="str">
        <f>IF('API Screen DB Mapping'!K19="","",SWITCH('API Screen DB Mapping'!K19,"Not Started","Chưa bắt đầu","In Progress","Đang làm","Done","Hoàn thành",'API Screen DB Mapping'!K19))</f>
        <v>Chưa bắt đầu</v>
      </c>
      <c r="L19" s="40" t="str">
        <f>IFERROR(__xludf.DUMMYFUNCTION("IF('API Screen DB Mapping'!L19="""","""",IFERROR(GOOGLETRANSLATE('API Screen DB Mapping'!L19,""en"",""vi""),'API Screen DB Mapping'!L19))"),"Thêm điểm cuối chính xác sau khi thiết kế API.")</f>
        <v>Thêm điểm cuối chính xác sau khi thiết kế API.</v>
      </c>
    </row>
    <row r="20" ht="22.5" customHeight="1">
      <c r="A20" s="40" t="str">
        <f>IF('API Screen DB Mapping'!A20="","",'API Screen DB Mapping'!A20)</f>
        <v>UC19</v>
      </c>
      <c r="B20" s="40" t="str">
        <f>IFERROR(__xludf.DUMMYFUNCTION("IF('API Screen DB Mapping'!B20="""","""",IFERROR(GOOGLETRANSLATE('API Screen DB Mapping'!B20,""en"",""vi""),'API Screen DB Mapping'!B20))"),"Xóa hoặc vô hiệu hóa thành viên gia đình")</f>
        <v>Xóa hoặc vô hiệu hóa thành viên gia đình</v>
      </c>
      <c r="C20" s="40" t="str">
        <f>IFERROR(__xludf.DUMMYFUNCTION("IF('API Screen DB Mapping'!C20="""","""",IFERROR(GOOGLETRANSLATE('API Screen DB Mapping'!C20,""en"",""vi""),'API Screen DB Mapping'!C20))"),"Flutter Mobile")</f>
        <v>Flutter Mobile</v>
      </c>
      <c r="D20" s="40" t="str">
        <f>IF('API Screen DB Mapping'!D20="","",'API Screen DB Mapping'!D20)</f>
        <v>/api/families</v>
      </c>
      <c r="E20" s="40" t="str">
        <f>IF('API Screen DB Mapping'!E20="","",'API Screen DB Mapping'!E20)</f>
        <v>GET/POST/PATCH</v>
      </c>
      <c r="F20" s="40" t="str">
        <f>IF('API Screen DB Mapping'!F20="","",'API Screen DB Mapping'!F20)</f>
        <v>TBD</v>
      </c>
      <c r="G20" s="40" t="str">
        <f>IF('API Screen DB Mapping'!G20="","",'API Screen DB Mapping'!G20)</f>
        <v>TBD</v>
      </c>
      <c r="H20" s="40" t="str">
        <f>IF('API Screen DB Mapping'!H20="","",'API Screen DB Mapping'!H20)</f>
        <v>Family, FamilyMember, Invitation, RolePermission</v>
      </c>
      <c r="I20" s="40" t="str">
        <f>IF('API Screen DB Mapping'!I20="","",'API Screen DB Mapping'!I20)</f>
        <v/>
      </c>
      <c r="J20" s="40" t="str">
        <f>IF('API Screen DB Mapping'!J20="","",'API Screen DB Mapping'!J20)</f>
        <v/>
      </c>
      <c r="K20" s="40" t="str">
        <f>IF('API Screen DB Mapping'!K20="","",SWITCH('API Screen DB Mapping'!K20,"Not Started","Chưa bắt đầu","In Progress","Đang làm","Done","Hoàn thành",'API Screen DB Mapping'!K20))</f>
        <v>Chưa bắt đầu</v>
      </c>
      <c r="L20" s="40" t="str">
        <f>IFERROR(__xludf.DUMMYFUNCTION("IF('API Screen DB Mapping'!L20="""","""",IFERROR(GOOGLETRANSLATE('API Screen DB Mapping'!L20,""en"",""vi""),'API Screen DB Mapping'!L20))"),"Thêm điểm cuối chính xác sau khi thiết kế API.")</f>
        <v>Thêm điểm cuối chính xác sau khi thiết kế API.</v>
      </c>
    </row>
    <row r="21" ht="22.5" customHeight="1">
      <c r="A21" s="40" t="str">
        <f>IF('API Screen DB Mapping'!A21="","",'API Screen DB Mapping'!A21)</f>
        <v>UC20</v>
      </c>
      <c r="B21" s="40" t="str">
        <f>IFERROR(__xludf.DUMMYFUNCTION("IF('API Screen DB Mapping'!B21="""","""",IFERROR(GOOGLETRANSLATE('API Screen DB Mapping'!B21,""en"",""vi""),'API Screen DB Mapping'!B21))"),"Xem danh sách và thông tin chi tiết các thành viên gia đình")</f>
        <v>Xem danh sách và thông tin chi tiết các thành viên gia đình</v>
      </c>
      <c r="C21" s="40" t="str">
        <f>IFERROR(__xludf.DUMMYFUNCTION("IF('API Screen DB Mapping'!C21="""","""",IFERROR(GOOGLETRANSLATE('API Screen DB Mapping'!C21,""en"",""vi""),'API Screen DB Mapping'!C21))"),"Flutter Mobile")</f>
        <v>Flutter Mobile</v>
      </c>
      <c r="D21" s="40" t="str">
        <f>IF('API Screen DB Mapping'!D21="","",'API Screen DB Mapping'!D21)</f>
        <v>/api/families</v>
      </c>
      <c r="E21" s="40" t="str">
        <f>IF('API Screen DB Mapping'!E21="","",'API Screen DB Mapping'!E21)</f>
        <v>GET/POST/PATCH</v>
      </c>
      <c r="F21" s="40" t="str">
        <f>IF('API Screen DB Mapping'!F21="","",'API Screen DB Mapping'!F21)</f>
        <v>TBD</v>
      </c>
      <c r="G21" s="40" t="str">
        <f>IF('API Screen DB Mapping'!G21="","",'API Screen DB Mapping'!G21)</f>
        <v>TBD</v>
      </c>
      <c r="H21" s="40" t="str">
        <f>IF('API Screen DB Mapping'!H21="","",'API Screen DB Mapping'!H21)</f>
        <v>Family, FamilyMember, Invitation, RolePermission</v>
      </c>
      <c r="I21" s="40" t="str">
        <f>IF('API Screen DB Mapping'!I21="","",'API Screen DB Mapping'!I21)</f>
        <v/>
      </c>
      <c r="J21" s="40" t="str">
        <f>IF('API Screen DB Mapping'!J21="","",'API Screen DB Mapping'!J21)</f>
        <v/>
      </c>
      <c r="K21" s="40" t="str">
        <f>IF('API Screen DB Mapping'!K21="","",SWITCH('API Screen DB Mapping'!K21,"Not Started","Chưa bắt đầu","In Progress","Đang làm","Done","Hoàn thành",'API Screen DB Mapping'!K21))</f>
        <v>Chưa bắt đầu</v>
      </c>
      <c r="L21" s="40" t="str">
        <f>IFERROR(__xludf.DUMMYFUNCTION("IF('API Screen DB Mapping'!L21="""","""",IFERROR(GOOGLETRANSLATE('API Screen DB Mapping'!L21,""en"",""vi""),'API Screen DB Mapping'!L21))"),"Thêm điểm cuối chính xác sau khi thiết kế API.")</f>
        <v>Thêm điểm cuối chính xác sau khi thiết kế API.</v>
      </c>
    </row>
    <row r="22" ht="22.5" customHeight="1">
      <c r="A22" s="40" t="str">
        <f>IF('API Screen DB Mapping'!A22="","",'API Screen DB Mapping'!A22)</f>
        <v>UC21</v>
      </c>
      <c r="B22" s="40" t="str">
        <f>IFERROR(__xludf.DUMMYFUNCTION("IF('API Screen DB Mapping'!B22="""","""",IFERROR(GOOGLETRANSLATE('API Screen DB Mapping'!B22,""en"",""vi""),'API Screen DB Mapping'!B22))"),"Quản lý hồ sơ tài chính của thành viên")</f>
        <v>Quản lý hồ sơ tài chính của thành viên</v>
      </c>
      <c r="C22" s="40" t="str">
        <f>IFERROR(__xludf.DUMMYFUNCTION("IF('API Screen DB Mapping'!C22="""","""",IFERROR(GOOGLETRANSLATE('API Screen DB Mapping'!C22,""en"",""vi""),'API Screen DB Mapping'!C22))"),"Flutter Mobile")</f>
        <v>Flutter Mobile</v>
      </c>
      <c r="D22" s="40" t="str">
        <f>IF('API Screen DB Mapping'!D22="","",'API Screen DB Mapping'!D22)</f>
        <v>/api/finance</v>
      </c>
      <c r="E22" s="40" t="str">
        <f>IF('API Screen DB Mapping'!E22="","",'API Screen DB Mapping'!E22)</f>
        <v>GET/POST/PATCH</v>
      </c>
      <c r="F22" s="40" t="str">
        <f>IF('API Screen DB Mapping'!F22="","",'API Screen DB Mapping'!F22)</f>
        <v>TBD</v>
      </c>
      <c r="G22" s="40" t="str">
        <f>IF('API Screen DB Mapping'!G22="","",'API Screen DB Mapping'!G22)</f>
        <v>TBD</v>
      </c>
      <c r="H22" s="40" t="str">
        <f>IF('API Screen DB Mapping'!H22="","",'API Screen DB Mapping'!H22)</f>
        <v>MemberFinancialProfile, ExpenseCategory, Budget, FamilyFund</v>
      </c>
      <c r="I22" s="40" t="str">
        <f>IF('API Screen DB Mapping'!I22="","",'API Screen DB Mapping'!I22)</f>
        <v/>
      </c>
      <c r="J22" s="40" t="str">
        <f>IF('API Screen DB Mapping'!J22="","",'API Screen DB Mapping'!J22)</f>
        <v/>
      </c>
      <c r="K22" s="40" t="str">
        <f>IF('API Screen DB Mapping'!K22="","",SWITCH('API Screen DB Mapping'!K22,"Not Started","Chưa bắt đầu","In Progress","Đang làm","Done","Hoàn thành",'API Screen DB Mapping'!K22))</f>
        <v>Chưa bắt đầu</v>
      </c>
      <c r="L22" s="40" t="str">
        <f>IFERROR(__xludf.DUMMYFUNCTION("IF('API Screen DB Mapping'!L22="""","""",IFERROR(GOOGLETRANSLATE('API Screen DB Mapping'!L22,""en"",""vi""),'API Screen DB Mapping'!L22))"),"Thêm điểm cuối chính xác sau khi thiết kế API.")</f>
        <v>Thêm điểm cuối chính xác sau khi thiết kế API.</v>
      </c>
    </row>
    <row r="23" ht="22.5" customHeight="1">
      <c r="A23" s="40" t="str">
        <f>IF('API Screen DB Mapping'!A23="","",'API Screen DB Mapping'!A23)</f>
        <v>UC22</v>
      </c>
      <c r="B23" s="40" t="str">
        <f>IFERROR(__xludf.DUMMYFUNCTION("IF('API Screen DB Mapping'!B23="""","""",IFERROR(GOOGLETRANSLATE('API Screen DB Mapping'!B23,""en"",""vi""),'API Screen DB Mapping'!B23))"),"Cập nhật thông tin tài chính cá nhân")</f>
        <v>Cập nhật thông tin tài chính cá nhân</v>
      </c>
      <c r="C23" s="40" t="str">
        <f>IFERROR(__xludf.DUMMYFUNCTION("IF('API Screen DB Mapping'!C23="""","""",IFERROR(GOOGLETRANSLATE('API Screen DB Mapping'!C23,""en"",""vi""),'API Screen DB Mapping'!C23))"),"Flutter Mobile")</f>
        <v>Flutter Mobile</v>
      </c>
      <c r="D23" s="40" t="str">
        <f>IF('API Screen DB Mapping'!D23="","",'API Screen DB Mapping'!D23)</f>
        <v>/api/finance</v>
      </c>
      <c r="E23" s="40" t="str">
        <f>IF('API Screen DB Mapping'!E23="","",'API Screen DB Mapping'!E23)</f>
        <v>GET/POST/PATCH</v>
      </c>
      <c r="F23" s="40" t="str">
        <f>IF('API Screen DB Mapping'!F23="","",'API Screen DB Mapping'!F23)</f>
        <v>TBD</v>
      </c>
      <c r="G23" s="40" t="str">
        <f>IF('API Screen DB Mapping'!G23="","",'API Screen DB Mapping'!G23)</f>
        <v>TBD</v>
      </c>
      <c r="H23" s="40" t="str">
        <f>IF('API Screen DB Mapping'!H23="","",'API Screen DB Mapping'!H23)</f>
        <v>MemberFinancialProfile, ExpenseCategory, Budget, FamilyFund</v>
      </c>
      <c r="I23" s="40" t="str">
        <f>IF('API Screen DB Mapping'!I23="","",'API Screen DB Mapping'!I23)</f>
        <v/>
      </c>
      <c r="J23" s="40" t="str">
        <f>IF('API Screen DB Mapping'!J23="","",'API Screen DB Mapping'!J23)</f>
        <v/>
      </c>
      <c r="K23" s="40" t="str">
        <f>IF('API Screen DB Mapping'!K23="","",SWITCH('API Screen DB Mapping'!K23,"Not Started","Chưa bắt đầu","In Progress","Đang làm","Done","Hoàn thành",'API Screen DB Mapping'!K23))</f>
        <v>Chưa bắt đầu</v>
      </c>
      <c r="L23" s="40" t="str">
        <f>IFERROR(__xludf.DUMMYFUNCTION("IF('API Screen DB Mapping'!L23="""","""",IFERROR(GOOGLETRANSLATE('API Screen DB Mapping'!L23,""en"",""vi""),'API Screen DB Mapping'!L23))"),"Thêm điểm cuối chính xác sau khi thiết kế API.")</f>
        <v>Thêm điểm cuối chính xác sau khi thiết kế API.</v>
      </c>
    </row>
    <row r="24" ht="22.5" customHeight="1">
      <c r="A24" s="40" t="str">
        <f>IF('API Screen DB Mapping'!A24="","",'API Screen DB Mapping'!A24)</f>
        <v>UC23</v>
      </c>
      <c r="B24" s="40" t="str">
        <f>IFERROR(__xludf.DUMMYFUNCTION("IF('API Screen DB Mapping'!B24="""","""",IFERROR(GOOGLETRANSLATE('API Screen DB Mapping'!B24,""en"",""vi""),'API Screen DB Mapping'!B24))"),"Quản lý các danh mục chi phí chung")</f>
        <v>Quản lý các danh mục chi phí chung</v>
      </c>
      <c r="C24" s="40" t="str">
        <f>IFERROR(__xludf.DUMMYFUNCTION("IF('API Screen DB Mapping'!C24="""","""",IFERROR(GOOGLETRANSLATE('API Screen DB Mapping'!C24,""en"",""vi""),'API Screen DB Mapping'!C24))"),"Flutter Mobile")</f>
        <v>Flutter Mobile</v>
      </c>
      <c r="D24" s="40" t="str">
        <f>IF('API Screen DB Mapping'!D24="","",'API Screen DB Mapping'!D24)</f>
        <v>/api/finance</v>
      </c>
      <c r="E24" s="40" t="str">
        <f>IF('API Screen DB Mapping'!E24="","",'API Screen DB Mapping'!E24)</f>
        <v>GET/POST/PATCH</v>
      </c>
      <c r="F24" s="40" t="str">
        <f>IF('API Screen DB Mapping'!F24="","",'API Screen DB Mapping'!F24)</f>
        <v>TBD</v>
      </c>
      <c r="G24" s="40" t="str">
        <f>IF('API Screen DB Mapping'!G24="","",'API Screen DB Mapping'!G24)</f>
        <v>TBD</v>
      </c>
      <c r="H24" s="40" t="str">
        <f>IF('API Screen DB Mapping'!H24="","",'API Screen DB Mapping'!H24)</f>
        <v>MemberFinancialProfile, ExpenseCategory, Budget, FamilyFund</v>
      </c>
      <c r="I24" s="40" t="str">
        <f>IF('API Screen DB Mapping'!I24="","",'API Screen DB Mapping'!I24)</f>
        <v/>
      </c>
      <c r="J24" s="40" t="str">
        <f>IF('API Screen DB Mapping'!J24="","",'API Screen DB Mapping'!J24)</f>
        <v/>
      </c>
      <c r="K24" s="40" t="str">
        <f>IF('API Screen DB Mapping'!K24="","",SWITCH('API Screen DB Mapping'!K24,"Not Started","Chưa bắt đầu","In Progress","Đang làm","Done","Hoàn thành",'API Screen DB Mapping'!K24))</f>
        <v>Chưa bắt đầu</v>
      </c>
      <c r="L24" s="40" t="str">
        <f>IFERROR(__xludf.DUMMYFUNCTION("IF('API Screen DB Mapping'!L24="""","""",IFERROR(GOOGLETRANSLATE('API Screen DB Mapping'!L24,""en"",""vi""),'API Screen DB Mapping'!L24))"),"Thêm điểm cuối chính xác sau khi thiết kế API.")</f>
        <v>Thêm điểm cuối chính xác sau khi thiết kế API.</v>
      </c>
    </row>
    <row r="25" ht="22.5" customHeight="1">
      <c r="A25" s="40" t="str">
        <f>IF('API Screen DB Mapping'!A25="","",'API Screen DB Mapping'!A25)</f>
        <v>UC24</v>
      </c>
      <c r="B25" s="40" t="str">
        <f>IFERROR(__xludf.DUMMYFUNCTION("IF('API Screen DB Mapping'!B25="""","""",IFERROR(GOOGLETRANSLATE('API Screen DB Mapping'!B25,""en"",""vi""),'API Screen DB Mapping'!B25))"),"Xác định thu nhập dự kiến ​​của gia đình")</f>
        <v>Xác định thu nhập dự kiến ​​của gia đình</v>
      </c>
      <c r="C25" s="40" t="str">
        <f>IFERROR(__xludf.DUMMYFUNCTION("IF('API Screen DB Mapping'!C25="""","""",IFERROR(GOOGLETRANSLATE('API Screen DB Mapping'!C25,""en"",""vi""),'API Screen DB Mapping'!C25))"),"Flutter Mobile")</f>
        <v>Flutter Mobile</v>
      </c>
      <c r="D25" s="40" t="str">
        <f>IF('API Screen DB Mapping'!D25="","",'API Screen DB Mapping'!D25)</f>
        <v>/api/finance</v>
      </c>
      <c r="E25" s="40" t="str">
        <f>IF('API Screen DB Mapping'!E25="","",'API Screen DB Mapping'!E25)</f>
        <v>GET/POST/PATCH</v>
      </c>
      <c r="F25" s="40" t="str">
        <f>IF('API Screen DB Mapping'!F25="","",'API Screen DB Mapping'!F25)</f>
        <v>TBD</v>
      </c>
      <c r="G25" s="40" t="str">
        <f>IF('API Screen DB Mapping'!G25="","",'API Screen DB Mapping'!G25)</f>
        <v>TBD</v>
      </c>
      <c r="H25" s="40" t="str">
        <f>IF('API Screen DB Mapping'!H25="","",'API Screen DB Mapping'!H25)</f>
        <v>MemberFinancialProfile, ExpenseCategory, Budget, FamilyFund</v>
      </c>
      <c r="I25" s="40" t="str">
        <f>IF('API Screen DB Mapping'!I25="","",'API Screen DB Mapping'!I25)</f>
        <v/>
      </c>
      <c r="J25" s="40" t="str">
        <f>IF('API Screen DB Mapping'!J25="","",'API Screen DB Mapping'!J25)</f>
        <v/>
      </c>
      <c r="K25" s="40" t="str">
        <f>IF('API Screen DB Mapping'!K25="","",SWITCH('API Screen DB Mapping'!K25,"Not Started","Chưa bắt đầu","In Progress","Đang làm","Done","Hoàn thành",'API Screen DB Mapping'!K25))</f>
        <v>Chưa bắt đầu</v>
      </c>
      <c r="L25" s="40" t="str">
        <f>IFERROR(__xludf.DUMMYFUNCTION("IF('API Screen DB Mapping'!L25="""","""",IFERROR(GOOGLETRANSLATE('API Screen DB Mapping'!L25,""en"",""vi""),'API Screen DB Mapping'!L25))"),"Thêm điểm cuối chính xác sau khi thiết kế API.")</f>
        <v>Thêm điểm cuối chính xác sau khi thiết kế API.</v>
      </c>
    </row>
    <row r="26" ht="22.5" customHeight="1">
      <c r="A26" s="40" t="str">
        <f>IF('API Screen DB Mapping'!A26="","",'API Screen DB Mapping'!A26)</f>
        <v>UC25</v>
      </c>
      <c r="B26" s="40" t="str">
        <f>IFERROR(__xludf.DUMMYFUNCTION("IF('API Screen DB Mapping'!B26="""","""",IFERROR(GOOGLETRANSLATE('API Screen DB Mapping'!B26,""en"",""vi""),'API Screen DB Mapping'!B26))"),"Xác định chi phí dự kiến")</f>
        <v>Xác định chi phí dự kiến</v>
      </c>
      <c r="C26" s="40" t="str">
        <f>IFERROR(__xludf.DUMMYFUNCTION("IF('API Screen DB Mapping'!C26="""","""",IFERROR(GOOGLETRANSLATE('API Screen DB Mapping'!C26,""en"",""vi""),'API Screen DB Mapping'!C26))"),"Flutter Mobile")</f>
        <v>Flutter Mobile</v>
      </c>
      <c r="D26" s="40" t="str">
        <f>IF('API Screen DB Mapping'!D26="","",'API Screen DB Mapping'!D26)</f>
        <v>/api/finance</v>
      </c>
      <c r="E26" s="40" t="str">
        <f>IF('API Screen DB Mapping'!E26="","",'API Screen DB Mapping'!E26)</f>
        <v>GET/POST/PATCH</v>
      </c>
      <c r="F26" s="40" t="str">
        <f>IF('API Screen DB Mapping'!F26="","",'API Screen DB Mapping'!F26)</f>
        <v>TBD</v>
      </c>
      <c r="G26" s="40" t="str">
        <f>IF('API Screen DB Mapping'!G26="","",'API Screen DB Mapping'!G26)</f>
        <v>TBD</v>
      </c>
      <c r="H26" s="40" t="str">
        <f>IF('API Screen DB Mapping'!H26="","",'API Screen DB Mapping'!H26)</f>
        <v>MemberFinancialProfile, ExpenseCategory, Budget, FamilyFund</v>
      </c>
      <c r="I26" s="40" t="str">
        <f>IF('API Screen DB Mapping'!I26="","",'API Screen DB Mapping'!I26)</f>
        <v/>
      </c>
      <c r="J26" s="40" t="str">
        <f>IF('API Screen DB Mapping'!J26="","",'API Screen DB Mapping'!J26)</f>
        <v/>
      </c>
      <c r="K26" s="40" t="str">
        <f>IF('API Screen DB Mapping'!K26="","",SWITCH('API Screen DB Mapping'!K26,"Not Started","Chưa bắt đầu","In Progress","Đang làm","Done","Hoàn thành",'API Screen DB Mapping'!K26))</f>
        <v>Chưa bắt đầu</v>
      </c>
      <c r="L26" s="40" t="str">
        <f>IFERROR(__xludf.DUMMYFUNCTION("IF('API Screen DB Mapping'!L26="""","""",IFERROR(GOOGLETRANSLATE('API Screen DB Mapping'!L26,""en"",""vi""),'API Screen DB Mapping'!L26))"),"Thêm điểm cuối chính xác sau khi thiết kế API.")</f>
        <v>Thêm điểm cuối chính xác sau khi thiết kế API.</v>
      </c>
    </row>
    <row r="27" ht="22.5" customHeight="1">
      <c r="A27" s="40" t="str">
        <f>IF('API Screen DB Mapping'!A27="","",'API Screen DB Mapping'!A27)</f>
        <v>UC26</v>
      </c>
      <c r="B27" s="40" t="str">
        <f>IFERROR(__xludf.DUMMYFUNCTION("IF('API Screen DB Mapping'!B27="""","""",IFERROR(GOOGLETRANSLATE('API Screen DB Mapping'!B27,""en"",""vi""),'API Screen DB Mapping'!B27))"),"Xem ngân sách gia đình theo kế hoạch")</f>
        <v>Xem ngân sách gia đình theo kế hoạch</v>
      </c>
      <c r="C27" s="40" t="str">
        <f>IFERROR(__xludf.DUMMYFUNCTION("IF('API Screen DB Mapping'!C27="""","""",IFERROR(GOOGLETRANSLATE('API Screen DB Mapping'!C27,""en"",""vi""),'API Screen DB Mapping'!C27))"),"Flutter Mobile")</f>
        <v>Flutter Mobile</v>
      </c>
      <c r="D27" s="40" t="str">
        <f>IF('API Screen DB Mapping'!D27="","",'API Screen DB Mapping'!D27)</f>
        <v>/api/finance</v>
      </c>
      <c r="E27" s="40" t="str">
        <f>IF('API Screen DB Mapping'!E27="","",'API Screen DB Mapping'!E27)</f>
        <v>GET/POST/PATCH</v>
      </c>
      <c r="F27" s="40" t="str">
        <f>IF('API Screen DB Mapping'!F27="","",'API Screen DB Mapping'!F27)</f>
        <v>TBD</v>
      </c>
      <c r="G27" s="40" t="str">
        <f>IF('API Screen DB Mapping'!G27="","",'API Screen DB Mapping'!G27)</f>
        <v>TBD</v>
      </c>
      <c r="H27" s="40" t="str">
        <f>IF('API Screen DB Mapping'!H27="","",'API Screen DB Mapping'!H27)</f>
        <v>MemberFinancialProfile, ExpenseCategory, Budget, FamilyFund</v>
      </c>
      <c r="I27" s="40" t="str">
        <f>IF('API Screen DB Mapping'!I27="","",'API Screen DB Mapping'!I27)</f>
        <v/>
      </c>
      <c r="J27" s="40" t="str">
        <f>IF('API Screen DB Mapping'!J27="","",'API Screen DB Mapping'!J27)</f>
        <v/>
      </c>
      <c r="K27" s="40" t="str">
        <f>IF('API Screen DB Mapping'!K27="","",SWITCH('API Screen DB Mapping'!K27,"Not Started","Chưa bắt đầu","In Progress","Đang làm","Done","Hoàn thành",'API Screen DB Mapping'!K27))</f>
        <v>Chưa bắt đầu</v>
      </c>
      <c r="L27" s="40" t="str">
        <f>IFERROR(__xludf.DUMMYFUNCTION("IF('API Screen DB Mapping'!L27="""","""",IFERROR(GOOGLETRANSLATE('API Screen DB Mapping'!L27,""en"",""vi""),'API Screen DB Mapping'!L27))"),"Thêm điểm cuối chính xác sau khi thiết kế API.")</f>
        <v>Thêm điểm cuối chính xác sau khi thiết kế API.</v>
      </c>
    </row>
    <row r="28" ht="22.5" customHeight="1">
      <c r="A28" s="40" t="str">
        <f>IF('API Screen DB Mapping'!A28="","",'API Screen DB Mapping'!A28)</f>
        <v>UC27</v>
      </c>
      <c r="B28" s="40" t="str">
        <f>IFERROR(__xludf.DUMMYFUNCTION("IF('API Screen DB Mapping'!B28="""","""",IFERROR(GOOGLETRANSLATE('API Screen DB Mapping'!B28,""en"",""vi""),'API Screen DB Mapping'!B28))"),"Ghi lại thu nhập thực tế và chi phí cá nhân")</f>
        <v>Ghi lại thu nhập thực tế và chi phí cá nhân</v>
      </c>
      <c r="C28" s="40" t="str">
        <f>IFERROR(__xludf.DUMMYFUNCTION("IF('API Screen DB Mapping'!C28="""","""",IFERROR(GOOGLETRANSLATE('API Screen DB Mapping'!C28,""en"",""vi""),'API Screen DB Mapping'!C28))"),"Flutter Mobile")</f>
        <v>Flutter Mobile</v>
      </c>
      <c r="D28" s="40" t="str">
        <f>IF('API Screen DB Mapping'!D28="","",'API Screen DB Mapping'!D28)</f>
        <v>/api/finance</v>
      </c>
      <c r="E28" s="40" t="str">
        <f>IF('API Screen DB Mapping'!E28="","",'API Screen DB Mapping'!E28)</f>
        <v>GET/POST/PATCH</v>
      </c>
      <c r="F28" s="40" t="str">
        <f>IF('API Screen DB Mapping'!F28="","",'API Screen DB Mapping'!F28)</f>
        <v>TBD</v>
      </c>
      <c r="G28" s="40" t="str">
        <f>IF('API Screen DB Mapping'!G28="","",'API Screen DB Mapping'!G28)</f>
        <v>TBD</v>
      </c>
      <c r="H28" s="40" t="str">
        <f>IF('API Screen DB Mapping'!H28="","",'API Screen DB Mapping'!H28)</f>
        <v>MemberFinancialProfile, ExpenseCategory, Budget, FamilyFund</v>
      </c>
      <c r="I28" s="40" t="str">
        <f>IF('API Screen DB Mapping'!I28="","",'API Screen DB Mapping'!I28)</f>
        <v/>
      </c>
      <c r="J28" s="40" t="str">
        <f>IF('API Screen DB Mapping'!J28="","",'API Screen DB Mapping'!J28)</f>
        <v/>
      </c>
      <c r="K28" s="40" t="str">
        <f>IF('API Screen DB Mapping'!K28="","",SWITCH('API Screen DB Mapping'!K28,"Not Started","Chưa bắt đầu","In Progress","Đang làm","Done","Hoàn thành",'API Screen DB Mapping'!K28))</f>
        <v>Chưa bắt đầu</v>
      </c>
      <c r="L28" s="40" t="str">
        <f>IFERROR(__xludf.DUMMYFUNCTION("IF('API Screen DB Mapping'!L28="""","""",IFERROR(GOOGLETRANSLATE('API Screen DB Mapping'!L28,""en"",""vi""),'API Screen DB Mapping'!L28))"),"Thêm điểm cuối chính xác sau khi thiết kế API.")</f>
        <v>Thêm điểm cuối chính xác sau khi thiết kế API.</v>
      </c>
    </row>
    <row r="29" ht="22.5" customHeight="1">
      <c r="A29" s="40" t="str">
        <f>IF('API Screen DB Mapping'!A29="","",'API Screen DB Mapping'!A29)</f>
        <v>UC28</v>
      </c>
      <c r="B29" s="40" t="str">
        <f>IFERROR(__xludf.DUMMYFUNCTION("IF('API Screen DB Mapping'!B29="""","""",IFERROR(GOOGLETRANSLATE('API Screen DB Mapping'!B29,""en"",""vi""),'API Screen DB Mapping'!B29))"),"Ghi lại chi phí thực tế chung của gia đình")</f>
        <v>Ghi lại chi phí thực tế chung của gia đình</v>
      </c>
      <c r="C29" s="40" t="str">
        <f>IFERROR(__xludf.DUMMYFUNCTION("IF('API Screen DB Mapping'!C29="""","""",IFERROR(GOOGLETRANSLATE('API Screen DB Mapping'!C29,""en"",""vi""),'API Screen DB Mapping'!C29))"),"Flutter Mobile")</f>
        <v>Flutter Mobile</v>
      </c>
      <c r="D29" s="40" t="str">
        <f>IF('API Screen DB Mapping'!D29="","",'API Screen DB Mapping'!D29)</f>
        <v>/api/finance</v>
      </c>
      <c r="E29" s="40" t="str">
        <f>IF('API Screen DB Mapping'!E29="","",'API Screen DB Mapping'!E29)</f>
        <v>GET/POST/PATCH</v>
      </c>
      <c r="F29" s="40" t="str">
        <f>IF('API Screen DB Mapping'!F29="","",'API Screen DB Mapping'!F29)</f>
        <v>TBD</v>
      </c>
      <c r="G29" s="40" t="str">
        <f>IF('API Screen DB Mapping'!G29="","",'API Screen DB Mapping'!G29)</f>
        <v>TBD</v>
      </c>
      <c r="H29" s="40" t="str">
        <f>IF('API Screen DB Mapping'!H29="","",'API Screen DB Mapping'!H29)</f>
        <v>MemberFinancialProfile, ExpenseCategory, Budget, FamilyFund</v>
      </c>
      <c r="I29" s="40" t="str">
        <f>IF('API Screen DB Mapping'!I29="","",'API Screen DB Mapping'!I29)</f>
        <v/>
      </c>
      <c r="J29" s="40" t="str">
        <f>IF('API Screen DB Mapping'!J29="","",'API Screen DB Mapping'!J29)</f>
        <v/>
      </c>
      <c r="K29" s="40" t="str">
        <f>IF('API Screen DB Mapping'!K29="","",SWITCH('API Screen DB Mapping'!K29,"Not Started","Chưa bắt đầu","In Progress","Đang làm","Done","Hoàn thành",'API Screen DB Mapping'!K29))</f>
        <v>Chưa bắt đầu</v>
      </c>
      <c r="L29" s="40" t="str">
        <f>IFERROR(__xludf.DUMMYFUNCTION("IF('API Screen DB Mapping'!L29="""","""",IFERROR(GOOGLETRANSLATE('API Screen DB Mapping'!L29,""en"",""vi""),'API Screen DB Mapping'!L29))"),"Thêm điểm cuối chính xác sau khi thiết kế API.")</f>
        <v>Thêm điểm cuối chính xác sau khi thiết kế API.</v>
      </c>
    </row>
    <row r="30" ht="22.5" customHeight="1">
      <c r="A30" s="40" t="str">
        <f>IF('API Screen DB Mapping'!A30="","",'API Screen DB Mapping'!A30)</f>
        <v>UC29</v>
      </c>
      <c r="B30" s="40" t="str">
        <f>IFERROR(__xludf.DUMMYFUNCTION("IF('API Screen DB Mapping'!B30="""","""",IFERROR(GOOGLETRANSLATE('API Screen DB Mapping'!B30,""en"",""vi""),'API Screen DB Mapping'!B30))"),"Xem báo cáo tài chính và quỹ gia đình thực tế")</f>
        <v>Xem báo cáo tài chính và quỹ gia đình thực tế</v>
      </c>
      <c r="C30" s="40" t="str">
        <f>IFERROR(__xludf.DUMMYFUNCTION("IF('API Screen DB Mapping'!C30="""","""",IFERROR(GOOGLETRANSLATE('API Screen DB Mapping'!C30,""en"",""vi""),'API Screen DB Mapping'!C30))"),"Flutter Mobile")</f>
        <v>Flutter Mobile</v>
      </c>
      <c r="D30" s="40" t="str">
        <f>IF('API Screen DB Mapping'!D30="","",'API Screen DB Mapping'!D30)</f>
        <v>/api/finance</v>
      </c>
      <c r="E30" s="40" t="str">
        <f>IF('API Screen DB Mapping'!E30="","",'API Screen DB Mapping'!E30)</f>
        <v>GET/POST/PATCH</v>
      </c>
      <c r="F30" s="40" t="str">
        <f>IF('API Screen DB Mapping'!F30="","",'API Screen DB Mapping'!F30)</f>
        <v>TBD</v>
      </c>
      <c r="G30" s="40" t="str">
        <f>IF('API Screen DB Mapping'!G30="","",'API Screen DB Mapping'!G30)</f>
        <v>TBD</v>
      </c>
      <c r="H30" s="40" t="str">
        <f>IF('API Screen DB Mapping'!H30="","",'API Screen DB Mapping'!H30)</f>
        <v>MemberFinancialProfile, ExpenseCategory, Budget, FamilyFund</v>
      </c>
      <c r="I30" s="40" t="str">
        <f>IF('API Screen DB Mapping'!I30="","",'API Screen DB Mapping'!I30)</f>
        <v/>
      </c>
      <c r="J30" s="40" t="str">
        <f>IF('API Screen DB Mapping'!J30="","",'API Screen DB Mapping'!J30)</f>
        <v/>
      </c>
      <c r="K30" s="40" t="str">
        <f>IF('API Screen DB Mapping'!K30="","",SWITCH('API Screen DB Mapping'!K30,"Not Started","Chưa bắt đầu","In Progress","Đang làm","Done","Hoàn thành",'API Screen DB Mapping'!K30))</f>
        <v>Chưa bắt đầu</v>
      </c>
      <c r="L30" s="40" t="str">
        <f>IFERROR(__xludf.DUMMYFUNCTION("IF('API Screen DB Mapping'!L30="""","""",IFERROR(GOOGLETRANSLATE('API Screen DB Mapping'!L30,""en"",""vi""),'API Screen DB Mapping'!L30))"),"Thêm điểm cuối chính xác sau khi thiết kế API.")</f>
        <v>Thêm điểm cuối chính xác sau khi thiết kế API.</v>
      </c>
    </row>
    <row r="31" ht="22.5" customHeight="1">
      <c r="A31" s="40" t="str">
        <f>IF('API Screen DB Mapping'!A31="","",'API Screen DB Mapping'!A31)</f>
        <v>UC31</v>
      </c>
      <c r="B31" s="40" t="str">
        <f>IFERROR(__xludf.DUMMYFUNCTION("IF('API Screen DB Mapping'!B31="""","""",IFERROR(GOOGLETRANSLATE('API Screen DB Mapping'!B31,""en"",""vi""),'API Screen DB Mapping'!B31))"),"Quản lý sổ quỹ gia đình")</f>
        <v>Quản lý sổ quỹ gia đình</v>
      </c>
      <c r="C31" s="40" t="str">
        <f>IFERROR(__xludf.DUMMYFUNCTION("IF('API Screen DB Mapping'!C31="""","""",IFERROR(GOOGLETRANSLATE('API Screen DB Mapping'!C31,""en"",""vi""),'API Screen DB Mapping'!C31))"),"Flutter Mobile")</f>
        <v>Flutter Mobile</v>
      </c>
      <c r="D31" s="40" t="str">
        <f>IF('API Screen DB Mapping'!D31="","",'API Screen DB Mapping'!D31)</f>
        <v>/api/finance/ledger</v>
      </c>
      <c r="E31" s="40" t="str">
        <f>IF('API Screen DB Mapping'!E31="","",'API Screen DB Mapping'!E31)</f>
        <v>GET/POST/PATCH</v>
      </c>
      <c r="F31" s="40" t="str">
        <f>IF('API Screen DB Mapping'!F31="","",'API Screen DB Mapping'!F31)</f>
        <v>TBD</v>
      </c>
      <c r="G31" s="40" t="str">
        <f>IF('API Screen DB Mapping'!G31="","",'API Screen DB Mapping'!G31)</f>
        <v>TBD</v>
      </c>
      <c r="H31" s="40" t="str">
        <f>IF('API Screen DB Mapping'!H31="","",'API Screen DB Mapping'!H31)</f>
        <v>FamilyFundLedger, LedgerEntry, AllowanceRecord, RewardSettlement, SpendingSupportRequest</v>
      </c>
      <c r="I31" s="40" t="str">
        <f>IF('API Screen DB Mapping'!I31="","",'API Screen DB Mapping'!I31)</f>
        <v/>
      </c>
      <c r="J31" s="40" t="str">
        <f>IF('API Screen DB Mapping'!J31="","",'API Screen DB Mapping'!J31)</f>
        <v/>
      </c>
      <c r="K31" s="40" t="str">
        <f>IF('API Screen DB Mapping'!K31="","",SWITCH('API Screen DB Mapping'!K31,"Not Started","Chưa bắt đầu","In Progress","Đang làm","Done","Hoàn thành",'API Screen DB Mapping'!K31))</f>
        <v>Chưa bắt đầu</v>
      </c>
      <c r="L31" s="40" t="str">
        <f>IFERROR(__xludf.DUMMYFUNCTION("IF('API Screen DB Mapping'!L31="""","""",IFERROR(GOOGLETRANSLATE('API Screen DB Mapping'!L31,""en"",""vi""),'API Screen DB Mapping'!L31))"),"Đây chỉ là sổ cái quỹ nội bộ gia đình; hệ thống không nắm giữ tiền thật.")</f>
        <v>Đây chỉ là sổ cái quỹ nội bộ gia đình; hệ thống không nắm giữ tiền thật.</v>
      </c>
    </row>
    <row r="32" ht="22.5" customHeight="1">
      <c r="A32" s="40" t="str">
        <f>IF('API Screen DB Mapping'!A32="","",'API Screen DB Mapping'!A32)</f>
        <v>UC32</v>
      </c>
      <c r="B32" s="40" t="str">
        <f>IFERROR(__xludf.DUMMYFUNCTION("IF('API Screen DB Mapping'!B32="""","""",IFERROR(GOOGLETRANSLATE('API Screen DB Mapping'!B32,""en"",""vi""),'API Screen DB Mapping'!B32))"),"Ghi nhận khoản đóng góp vào Quỹ Gia đình")</f>
        <v>Ghi nhận khoản đóng góp vào Quỹ Gia đình</v>
      </c>
      <c r="C32" s="40" t="str">
        <f>IFERROR(__xludf.DUMMYFUNCTION("IF('API Screen DB Mapping'!C32="""","""",IFERROR(GOOGLETRANSLATE('API Screen DB Mapping'!C32,""en"",""vi""),'API Screen DB Mapping'!C32))"),"Flutter Mobile")</f>
        <v>Flutter Mobile</v>
      </c>
      <c r="D32" s="40" t="str">
        <f>IF('API Screen DB Mapping'!D32="","",'API Screen DB Mapping'!D32)</f>
        <v>/api/finance/ledger/contributions</v>
      </c>
      <c r="E32" s="40" t="str">
        <f>IF('API Screen DB Mapping'!E32="","",'API Screen DB Mapping'!E32)</f>
        <v>POST</v>
      </c>
      <c r="F32" s="40" t="str">
        <f>IF('API Screen DB Mapping'!F32="","",'API Screen DB Mapping'!F32)</f>
        <v>TBD</v>
      </c>
      <c r="G32" s="40" t="str">
        <f>IF('API Screen DB Mapping'!G32="","",'API Screen DB Mapping'!G32)</f>
        <v>TBD</v>
      </c>
      <c r="H32" s="40" t="str">
        <f>IF('API Screen DB Mapping'!H32="","",'API Screen DB Mapping'!H32)</f>
        <v>FamilyFundLedger, LedgerEntry</v>
      </c>
      <c r="I32" s="40" t="str">
        <f>IF('API Screen DB Mapping'!I32="","",'API Screen DB Mapping'!I32)</f>
        <v/>
      </c>
      <c r="J32" s="40" t="str">
        <f>IF('API Screen DB Mapping'!J32="","",'API Screen DB Mapping'!J32)</f>
        <v/>
      </c>
      <c r="K32" s="40" t="str">
        <f>IF('API Screen DB Mapping'!K32="","",SWITCH('API Screen DB Mapping'!K32,"Not Started","Chưa bắt đầu","In Progress","Đang làm","Done","Hoàn thành",'API Screen DB Mapping'!K32))</f>
        <v>Chưa bắt đầu</v>
      </c>
      <c r="L32" s="40" t="str">
        <f>IFERROR(__xludf.DUMMYFUNCTION("IF('API Screen DB Mapping'!L32="""","""",IFERROR(GOOGLETRANSLATE('API Screen DB Mapping'!L32,""en"",""vi""),'API Screen DB Mapping'!L32))"),"Thay thế trường hợp sử dụng nạp tiền vào ví cũ. Đây là bản ghi sổ cái, không phải giao dịch thanh toán.")</f>
        <v>Thay thế trường hợp sử dụng nạp tiền vào ví cũ. Đây là bản ghi sổ cái, không phải giao dịch thanh toán.</v>
      </c>
    </row>
    <row r="33" ht="22.5" customHeight="1">
      <c r="A33" s="40" t="str">
        <f>IF('API Screen DB Mapping'!A33="","",'API Screen DB Mapping'!A33)</f>
        <v>UC33</v>
      </c>
      <c r="B33" s="40" t="str">
        <f>IFERROR(__xludf.DUMMYFUNCTION("IF('API Screen DB Mapping'!B33="""","""",IFERROR(GOOGLETRANSLATE('API Screen DB Mapping'!B33,""en"",""vi""),'API Screen DB Mapping'!B33))"),"Phân bổ phụ cấp/thưởng nội bộ")</f>
        <v>Phân bổ phụ cấp/thưởng nội bộ</v>
      </c>
      <c r="C33" s="40" t="str">
        <f>IFERROR(__xludf.DUMMYFUNCTION("IF('API Screen DB Mapping'!C33="""","""",IFERROR(GOOGLETRANSLATE('API Screen DB Mapping'!C33,""en"",""vi""),'API Screen DB Mapping'!C33))"),"Flutter Mobile")</f>
        <v>Flutter Mobile</v>
      </c>
      <c r="D33" s="40" t="str">
        <f>IF('API Screen DB Mapping'!D33="","",'API Screen DB Mapping'!D33)</f>
        <v>/api/finance/allowances</v>
      </c>
      <c r="E33" s="40" t="str">
        <f>IF('API Screen DB Mapping'!E33="","",'API Screen DB Mapping'!E33)</f>
        <v>POST</v>
      </c>
      <c r="F33" s="40" t="str">
        <f>IF('API Screen DB Mapping'!F33="","",'API Screen DB Mapping'!F33)</f>
        <v>TBD</v>
      </c>
      <c r="G33" s="40" t="str">
        <f>IF('API Screen DB Mapping'!G33="","",'API Screen DB Mapping'!G33)</f>
        <v>TBD</v>
      </c>
      <c r="H33" s="40" t="str">
        <f>IF('API Screen DB Mapping'!H33="","",'API Screen DB Mapping'!H33)</f>
        <v>AllowanceRecord, RewardSettlement, LedgerEntry, FamilyMember</v>
      </c>
      <c r="I33" s="40" t="str">
        <f>IF('API Screen DB Mapping'!I33="","",'API Screen DB Mapping'!I33)</f>
        <v/>
      </c>
      <c r="J33" s="40" t="str">
        <f>IF('API Screen DB Mapping'!J33="","",'API Screen DB Mapping'!J33)</f>
        <v/>
      </c>
      <c r="K33" s="40" t="str">
        <f>IF('API Screen DB Mapping'!K33="","",SWITCH('API Screen DB Mapping'!K33,"Not Started","Chưa bắt đầu","In Progress","Đang làm","Done","Hoàn thành",'API Screen DB Mapping'!K33))</f>
        <v>Chưa bắt đầu</v>
      </c>
      <c r="L33" s="40" t="str">
        <f>IFERROR(__xludf.DUMMYFUNCTION("IF('API Screen DB Mapping'!L33="""","""",IFERROR(GOOGLETRANSLATE('API Screen DB Mapping'!L33,""en"",""vi""),'API Screen DB Mapping'!L33))"),"Thay thế trường hợp sử dụng yêu cầu tiền cũ. Chỉ là quy trình phê duyệt, không phải rút tiền.")</f>
        <v>Thay thế trường hợp sử dụng yêu cầu tiền cũ. Chỉ là quy trình phê duyệt, không phải rút tiền.</v>
      </c>
    </row>
    <row r="34" ht="22.5" customHeight="1">
      <c r="A34" s="40" t="str">
        <f>IF('API Screen DB Mapping'!A34="","",'API Screen DB Mapping'!A34)</f>
        <v>UC34</v>
      </c>
      <c r="B34" s="40" t="str">
        <f>IFERROR(__xludf.DUMMYFUNCTION("IF('API Screen DB Mapping'!B34="""","""",IFERROR(GOOGLETRANSLATE('API Screen DB Mapping'!B34,""en"",""vi""),'API Screen DB Mapping'!B34))"),"Gửi yêu cầu hỗ trợ chi tiêu")</f>
        <v>Gửi yêu cầu hỗ trợ chi tiêu</v>
      </c>
      <c r="C34" s="40" t="str">
        <f>IFERROR(__xludf.DUMMYFUNCTION("IF('API Screen DB Mapping'!C34="""","""",IFERROR(GOOGLETRANSLATE('API Screen DB Mapping'!C34,""en"",""vi""),'API Screen DB Mapping'!C34))"),"Flutter Mobile")</f>
        <v>Flutter Mobile</v>
      </c>
      <c r="D34" s="40" t="str">
        <f>IF('API Screen DB Mapping'!D34="","",'API Screen DB Mapping'!D34)</f>
        <v>/api/finance/support-requests</v>
      </c>
      <c r="E34" s="40" t="str">
        <f>IF('API Screen DB Mapping'!E34="","",'API Screen DB Mapping'!E34)</f>
        <v>POST</v>
      </c>
      <c r="F34" s="40" t="str">
        <f>IF('API Screen DB Mapping'!F34="","",'API Screen DB Mapping'!F34)</f>
        <v>TBD</v>
      </c>
      <c r="G34" s="40" t="str">
        <f>IF('API Screen DB Mapping'!G34="","",'API Screen DB Mapping'!G34)</f>
        <v>TBD</v>
      </c>
      <c r="H34" s="40" t="str">
        <f>IF('API Screen DB Mapping'!H34="","",'API Screen DB Mapping'!H34)</f>
        <v>SpendingSupportRequest, Notification, FamilyMember</v>
      </c>
      <c r="I34" s="40" t="str">
        <f>IF('API Screen DB Mapping'!I34="","",'API Screen DB Mapping'!I34)</f>
        <v/>
      </c>
      <c r="J34" s="40" t="str">
        <f>IF('API Screen DB Mapping'!J34="","",'API Screen DB Mapping'!J34)</f>
        <v/>
      </c>
      <c r="K34" s="40" t="str">
        <f>IF('API Screen DB Mapping'!K34="","",SWITCH('API Screen DB Mapping'!K34,"Not Started","Chưa bắt đầu","In Progress","Đang làm","Done","Hoàn thành",'API Screen DB Mapping'!K34))</f>
        <v>Chưa bắt đầu</v>
      </c>
      <c r="L34" s="40" t="str">
        <f>IFERROR(__xludf.DUMMYFUNCTION("IF('API Screen DB Mapping'!L34="""","""",IFERROR(GOOGLETRANSLATE('API Screen DB Mapping'!L34,""en"",""vi""),'API Screen DB Mapping'!L34))"),"Thay thế Yêu cầu Hỗ trợ Chi tiêu. Chỉ là quy trình phê duyệt, không phải là rút tiền.")</f>
        <v>Thay thế Yêu cầu Hỗ trợ Chi tiêu. Chỉ là quy trình phê duyệt, không phải là rút tiền.</v>
      </c>
    </row>
    <row r="35" ht="22.5" customHeight="1">
      <c r="A35" s="40" t="str">
        <f>IF('API Screen DB Mapping'!A35="","",'API Screen DB Mapping'!A35)</f>
        <v>UC35</v>
      </c>
      <c r="B35" s="40" t="str">
        <f>IFERROR(__xludf.DUMMYFUNCTION("IF('API Screen DB Mapping'!B35="""","""",IFERROR(GOOGLETRANSLATE('API Screen DB Mapping'!B35,""en"",""vi""),'API Screen DB Mapping'!B35))"),"Phê duyệt hoặc từ chối yêu cầu hỗ trợ chi tiêu")</f>
        <v>Phê duyệt hoặc từ chối yêu cầu hỗ trợ chi tiêu</v>
      </c>
      <c r="C35" s="40" t="str">
        <f>IFERROR(__xludf.DUMMYFUNCTION("IF('API Screen DB Mapping'!C35="""","""",IFERROR(GOOGLETRANSLATE('API Screen DB Mapping'!C35,""en"",""vi""),'API Screen DB Mapping'!C35))"),"Flutter Mobile")</f>
        <v>Flutter Mobile</v>
      </c>
      <c r="D35" s="40" t="str">
        <f>IF('API Screen DB Mapping'!D35="","",'API Screen DB Mapping'!D35)</f>
        <v>/api/finance/support-requests/{id}</v>
      </c>
      <c r="E35" s="40" t="str">
        <f>IF('API Screen DB Mapping'!E35="","",'API Screen DB Mapping'!E35)</f>
        <v>PATCH</v>
      </c>
      <c r="F35" s="40" t="str">
        <f>IF('API Screen DB Mapping'!F35="","",'API Screen DB Mapping'!F35)</f>
        <v>TBD</v>
      </c>
      <c r="G35" s="40" t="str">
        <f>IF('API Screen DB Mapping'!G35="","",'API Screen DB Mapping'!G35)</f>
        <v>TBD</v>
      </c>
      <c r="H35" s="40" t="str">
        <f>IF('API Screen DB Mapping'!H35="","",'API Screen DB Mapping'!H35)</f>
        <v>SpendingSupportRequest, LedgerEntry, AllowanceRecord, Notification</v>
      </c>
      <c r="I35" s="40" t="str">
        <f>IF('API Screen DB Mapping'!I35="","",'API Screen DB Mapping'!I35)</f>
        <v/>
      </c>
      <c r="J35" s="40" t="str">
        <f>IF('API Screen DB Mapping'!J35="","",'API Screen DB Mapping'!J35)</f>
        <v/>
      </c>
      <c r="K35" s="40" t="str">
        <f>IF('API Screen DB Mapping'!K35="","",SWITCH('API Screen DB Mapping'!K35,"Not Started","Chưa bắt đầu","In Progress","Đang làm","Done","Hoàn thành",'API Screen DB Mapping'!K35))</f>
        <v>Chưa bắt đầu</v>
      </c>
      <c r="L35" s="40" t="str">
        <f>IFERROR(__xludf.DUMMYFUNCTION("IF('API Screen DB Mapping'!L35="""","""",IFERROR(GOOGLETRANSLATE('API Screen DB Mapping'!L35,""en"",""vi""),'API Screen DB Mapping'!L35))"),"Quá trình phê duyệt chỉ tạo ra các bản ghi sổ cái/chi tiêu nội bộ.")</f>
        <v>Quá trình phê duyệt chỉ tạo ra các bản ghi sổ cái/chi tiêu nội bộ.</v>
      </c>
    </row>
    <row r="36" ht="22.5" customHeight="1">
      <c r="A36" s="40" t="str">
        <f>IF('API Screen DB Mapping'!A36="","",'API Screen DB Mapping'!A36)</f>
        <v>UC36</v>
      </c>
      <c r="B36" s="40" t="str">
        <f>IFERROR(__xludf.DUMMYFUNCTION("IF('API Screen DB Mapping'!B36="""","""",IFERROR(GOOGLETRANSLATE('API Screen DB Mapping'!B36,""en"",""vi""),'API Screen DB Mapping'!B36))"),"Xem lịch sử quỹ gia đình và trợ cấp")</f>
        <v>Xem lịch sử quỹ gia đình và trợ cấp</v>
      </c>
      <c r="C36" s="40" t="str">
        <f>IFERROR(__xludf.DUMMYFUNCTION("IF('API Screen DB Mapping'!C36="""","""",IFERROR(GOOGLETRANSLATE('API Screen DB Mapping'!C36,""en"",""vi""),'API Screen DB Mapping'!C36))"),"Flutter Mobile")</f>
        <v>Flutter Mobile</v>
      </c>
      <c r="D36" s="40" t="str">
        <f>IF('API Screen DB Mapping'!D36="","",'API Screen DB Mapping'!D36)</f>
        <v>/api/finance/ledger/history</v>
      </c>
      <c r="E36" s="40" t="str">
        <f>IF('API Screen DB Mapping'!E36="","",'API Screen DB Mapping'!E36)</f>
        <v>GET</v>
      </c>
      <c r="F36" s="40" t="str">
        <f>IF('API Screen DB Mapping'!F36="","",'API Screen DB Mapping'!F36)</f>
        <v>TBD</v>
      </c>
      <c r="G36" s="40" t="str">
        <f>IF('API Screen DB Mapping'!G36="","",'API Screen DB Mapping'!G36)</f>
        <v>TBD</v>
      </c>
      <c r="H36" s="40" t="str">
        <f>IF('API Screen DB Mapping'!H36="","",'API Screen DB Mapping'!H36)</f>
        <v>FamilyFundLedger, LedgerEntry, AllowanceRecord, RewardSettlement, SpendingSupportRequest</v>
      </c>
      <c r="I36" s="40" t="str">
        <f>IF('API Screen DB Mapping'!I36="","",'API Screen DB Mapping'!I36)</f>
        <v/>
      </c>
      <c r="J36" s="40" t="str">
        <f>IF('API Screen DB Mapping'!J36="","",'API Screen DB Mapping'!J36)</f>
        <v/>
      </c>
      <c r="K36" s="40" t="str">
        <f>IF('API Screen DB Mapping'!K36="","",SWITCH('API Screen DB Mapping'!K36,"Not Started","Chưa bắt đầu","In Progress","Đang làm","Done","Hoàn thành",'API Screen DB Mapping'!K36))</f>
        <v>Chưa bắt đầu</v>
      </c>
      <c r="L36" s="40" t="str">
        <f>IFERROR(__xludf.DUMMYFUNCTION("IF('API Screen DB Mapping'!L36="""","""",IFERROR(GOOGLETRANSLATE('API Screen DB Mapping'!L36,""en"",""vi""),'API Screen DB Mapping'!L36))"),"Chỉ hiển thị lịch sử sổ cái, không bao gồm lịch sử giao dịch ngân hàng/thanh toán.")</f>
        <v>Chỉ hiển thị lịch sử sổ cái, không bao gồm lịch sử giao dịch ngân hàng/thanh toán.</v>
      </c>
    </row>
    <row r="37" ht="22.5" customHeight="1">
      <c r="A37" s="40" t="str">
        <f>IF('API Screen DB Mapping'!A37="","",'API Screen DB Mapping'!A37)</f>
        <v>UC37</v>
      </c>
      <c r="B37" s="40" t="str">
        <f>IFERROR(__xludf.DUMMYFUNCTION("IF('API Screen DB Mapping'!B37="""","""",IFERROR(GOOGLETRANSLATE('API Screen DB Mapping'!B37,""en"",""vi""),'API Screen DB Mapping'!B37))"),"Quản lý các danh mục công việc gia đình")</f>
        <v>Quản lý các danh mục công việc gia đình</v>
      </c>
      <c r="C37" s="40" t="str">
        <f>IFERROR(__xludf.DUMMYFUNCTION("IF('API Screen DB Mapping'!C37="""","""",IFERROR(GOOGLETRANSLATE('API Screen DB Mapping'!C37,""en"",""vi""),'API Screen DB Mapping'!C37))"),"Flutter Mobile")</f>
        <v>Flutter Mobile</v>
      </c>
      <c r="D37" s="40" t="str">
        <f>IF('API Screen DB Mapping'!D37="","",'API Screen DB Mapping'!D37)</f>
        <v>/api/tasks/categories</v>
      </c>
      <c r="E37" s="40" t="str">
        <f>IF('API Screen DB Mapping'!E37="","",'API Screen DB Mapping'!E37)</f>
        <v>GET/POST/PATCH</v>
      </c>
      <c r="F37" s="40" t="str">
        <f>IF('API Screen DB Mapping'!F37="","",'API Screen DB Mapping'!F37)</f>
        <v>TBD</v>
      </c>
      <c r="G37" s="40" t="str">
        <f>IF('API Screen DB Mapping'!G37="","",'API Screen DB Mapping'!G37)</f>
        <v>TBD</v>
      </c>
      <c r="H37" s="40" t="str">
        <f>IF('API Screen DB Mapping'!H37="","",'API Screen DB Mapping'!H37)</f>
        <v>TaskCategory</v>
      </c>
      <c r="I37" s="40" t="str">
        <f>IF('API Screen DB Mapping'!I37="","",'API Screen DB Mapping'!I37)</f>
        <v/>
      </c>
      <c r="J37" s="40" t="str">
        <f>IF('API Screen DB Mapping'!J37="","",'API Screen DB Mapping'!J37)</f>
        <v/>
      </c>
      <c r="K37" s="40" t="str">
        <f>IF('API Screen DB Mapping'!K37="","",SWITCH('API Screen DB Mapping'!K37,"Not Started","Chưa bắt đầu","In Progress","Đang làm","Done","Hoàn thành",'API Screen DB Mapping'!K37))</f>
        <v>Chưa bắt đầu</v>
      </c>
      <c r="L37" s="40" t="str">
        <f>IFERROR(__xludf.DUMMYFUNCTION("IF('API Screen DB Mapping'!L37="""","""",IFERROR(GOOGLETRANSLATE('API Screen DB Mapping'!L37,""en"",""vi""),'API Screen DB Mapping'!L37))"),"Thêm điểm cuối chính xác sau khi thiết kế API.")</f>
        <v>Thêm điểm cuối chính xác sau khi thiết kế API.</v>
      </c>
    </row>
    <row r="38" ht="22.5" customHeight="1">
      <c r="A38" s="40" t="str">
        <f>IF('API Screen DB Mapping'!A38="","",'API Screen DB Mapping'!A38)</f>
        <v>UC38</v>
      </c>
      <c r="B38" s="40" t="str">
        <f>IFERROR(__xludf.DUMMYFUNCTION("IF('API Screen DB Mapping'!B38="""","""",IFERROR(GOOGLETRANSLATE('API Screen DB Mapping'!B38,""en"",""vi""),'API Screen DB Mapping'!B38))"),"Tạo tác vụ Ad-hoc")</f>
        <v>Tạo tác vụ Ad-hoc</v>
      </c>
      <c r="C38" s="40" t="str">
        <f>IFERROR(__xludf.DUMMYFUNCTION("IF('API Screen DB Mapping'!C38="""","""",IFERROR(GOOGLETRANSLATE('API Screen DB Mapping'!C38,""en"",""vi""),'API Screen DB Mapping'!C38))"),"Flutter Mobile")</f>
        <v>Flutter Mobile</v>
      </c>
      <c r="D38" s="40" t="str">
        <f>IF('API Screen DB Mapping'!D38="","",'API Screen DB Mapping'!D38)</f>
        <v>/api/tasks</v>
      </c>
      <c r="E38" s="40" t="str">
        <f>IF('API Screen DB Mapping'!E38="","",'API Screen DB Mapping'!E38)</f>
        <v>POST</v>
      </c>
      <c r="F38" s="40" t="str">
        <f>IF('API Screen DB Mapping'!F38="","",'API Screen DB Mapping'!F38)</f>
        <v>TBD</v>
      </c>
      <c r="G38" s="40" t="str">
        <f>IF('API Screen DB Mapping'!G38="","",'API Screen DB Mapping'!G38)</f>
        <v>TBD</v>
      </c>
      <c r="H38" s="40" t="str">
        <f>IF('API Screen DB Mapping'!H38="","",'API Screen DB Mapping'!H38)</f>
        <v>Task, TaskAssignment, RewardSetting</v>
      </c>
      <c r="I38" s="40" t="str">
        <f>IF('API Screen DB Mapping'!I38="","",'API Screen DB Mapping'!I38)</f>
        <v/>
      </c>
      <c r="J38" s="40" t="str">
        <f>IF('API Screen DB Mapping'!J38="","",'API Screen DB Mapping'!J38)</f>
        <v/>
      </c>
      <c r="K38" s="40" t="str">
        <f>IF('API Screen DB Mapping'!K38="","",SWITCH('API Screen DB Mapping'!K38,"Not Started","Chưa bắt đầu","In Progress","Đang làm","Done","Hoàn thành",'API Screen DB Mapping'!K38))</f>
        <v>Chưa bắt đầu</v>
      </c>
      <c r="L38" s="40" t="str">
        <f>IFERROR(__xludf.DUMMYFUNCTION("IF('API Screen DB Mapping'!L38="""","""",IFERROR(GOOGLETRANSLATE('API Screen DB Mapping'!L38,""en"",""vi""),'API Screen DB Mapping'!L38))"),"Thêm điểm cuối chính xác sau khi thiết kế API.")</f>
        <v>Thêm điểm cuối chính xác sau khi thiết kế API.</v>
      </c>
    </row>
    <row r="39" ht="22.5" customHeight="1">
      <c r="A39" s="40" t="str">
        <f>IF('API Screen DB Mapping'!A39="","",'API Screen DB Mapping'!A39)</f>
        <v>UC39</v>
      </c>
      <c r="B39" s="40" t="str">
        <f>IFERROR(__xludf.DUMMYFUNCTION("IF('API Screen DB Mapping'!B39="""","""",IFERROR(GOOGLETRANSLATE('API Screen DB Mapping'!B39,""en"",""vi""),'API Screen DB Mapping'!B39))"),"Tạo nhiệm vụ bắt buộc định kỳ")</f>
        <v>Tạo nhiệm vụ bắt buộc định kỳ</v>
      </c>
      <c r="C39" s="40" t="str">
        <f>IFERROR(__xludf.DUMMYFUNCTION("IF('API Screen DB Mapping'!C39="""","""",IFERROR(GOOGLETRANSLATE('API Screen DB Mapping'!C39,""en"",""vi""),'API Screen DB Mapping'!C39))"),"Flutter Mobile")</f>
        <v>Flutter Mobile</v>
      </c>
      <c r="D39" s="40" t="str">
        <f>IF('API Screen DB Mapping'!D39="","",'API Screen DB Mapping'!D39)</f>
        <v>/api/tasks/recurring</v>
      </c>
      <c r="E39" s="40" t="str">
        <f>IF('API Screen DB Mapping'!E39="","",'API Screen DB Mapping'!E39)</f>
        <v>POST</v>
      </c>
      <c r="F39" s="40" t="str">
        <f>IF('API Screen DB Mapping'!F39="","",'API Screen DB Mapping'!F39)</f>
        <v>TBD</v>
      </c>
      <c r="G39" s="40" t="str">
        <f>IF('API Screen DB Mapping'!G39="","",'API Screen DB Mapping'!G39)</f>
        <v>TBD</v>
      </c>
      <c r="H39" s="40" t="str">
        <f>IF('API Screen DB Mapping'!H39="","",'API Screen DB Mapping'!H39)</f>
        <v>Task, TaskSchedule, TaskAssignment, RewardSetting</v>
      </c>
      <c r="I39" s="40" t="str">
        <f>IF('API Screen DB Mapping'!I39="","",'API Screen DB Mapping'!I39)</f>
        <v/>
      </c>
      <c r="J39" s="40" t="str">
        <f>IF('API Screen DB Mapping'!J39="","",'API Screen DB Mapping'!J39)</f>
        <v/>
      </c>
      <c r="K39" s="40" t="str">
        <f>IF('API Screen DB Mapping'!K39="","",SWITCH('API Screen DB Mapping'!K39,"Not Started","Chưa bắt đầu","In Progress","Đang làm","Done","Hoàn thành",'API Screen DB Mapping'!K39))</f>
        <v>Chưa bắt đầu</v>
      </c>
      <c r="L39" s="40" t="str">
        <f>IFERROR(__xludf.DUMMYFUNCTION("IF('API Screen DB Mapping'!L39="""","""",IFERROR(GOOGLETRANSLATE('API Screen DB Mapping'!L39,""en"",""vi""),'API Screen DB Mapping'!L39))"),"Thêm điểm cuối chính xác sau khi thiết kế API.")</f>
        <v>Thêm điểm cuối chính xác sau khi thiết kế API.</v>
      </c>
    </row>
    <row r="40" ht="22.5" customHeight="1">
      <c r="A40" s="40" t="str">
        <f>IF('API Screen DB Mapping'!A40="","",'API Screen DB Mapping'!A40)</f>
        <v>UC40</v>
      </c>
      <c r="B40" s="40" t="str">
        <f>IFERROR(__xludf.DUMMYFUNCTION("IF('API Screen DB Mapping'!B40="""","""",IFERROR(GOOGLETRANSLATE('API Screen DB Mapping'!B40,""en"",""vi""),'API Screen DB Mapping'!B40))"),"Phân công hoặc phân công lại công việc nhà")</f>
        <v>Phân công hoặc phân công lại công việc nhà</v>
      </c>
      <c r="C40" s="40" t="str">
        <f>IFERROR(__xludf.DUMMYFUNCTION("IF('API Screen DB Mapping'!C40="""","""",IFERROR(GOOGLETRANSLATE('API Screen DB Mapping'!C40,""en"",""vi""),'API Screen DB Mapping'!C40))"),"Flutter Mobile")</f>
        <v>Flutter Mobile</v>
      </c>
      <c r="D40" s="40" t="str">
        <f>IF('API Screen DB Mapping'!D40="","",'API Screen DB Mapping'!D40)</f>
        <v>/api/tasks/{id}/assignment</v>
      </c>
      <c r="E40" s="40" t="str">
        <f>IF('API Screen DB Mapping'!E40="","",'API Screen DB Mapping'!E40)</f>
        <v>PATCH</v>
      </c>
      <c r="F40" s="40" t="str">
        <f>IF('API Screen DB Mapping'!F40="","",'API Screen DB Mapping'!F40)</f>
        <v>TBD</v>
      </c>
      <c r="G40" s="40" t="str">
        <f>IF('API Screen DB Mapping'!G40="","",'API Screen DB Mapping'!G40)</f>
        <v>TBD</v>
      </c>
      <c r="H40" s="40" t="str">
        <f>IF('API Screen DB Mapping'!H40="","",'API Screen DB Mapping'!H40)</f>
        <v>Task, TaskAssignment, Notification</v>
      </c>
      <c r="I40" s="40" t="str">
        <f>IF('API Screen DB Mapping'!I40="","",'API Screen DB Mapping'!I40)</f>
        <v/>
      </c>
      <c r="J40" s="40" t="str">
        <f>IF('API Screen DB Mapping'!J40="","",'API Screen DB Mapping'!J40)</f>
        <v/>
      </c>
      <c r="K40" s="40" t="str">
        <f>IF('API Screen DB Mapping'!K40="","",SWITCH('API Screen DB Mapping'!K40,"Not Started","Chưa bắt đầu","In Progress","Đang làm","Done","Hoàn thành",'API Screen DB Mapping'!K40))</f>
        <v>Chưa bắt đầu</v>
      </c>
      <c r="L40" s="40" t="str">
        <f>IFERROR(__xludf.DUMMYFUNCTION("IF('API Screen DB Mapping'!L40="""","""",IFERROR(GOOGLETRANSLATE('API Screen DB Mapping'!L40,""en"",""vi""),'API Screen DB Mapping'!L40))"),"Thêm điểm cuối chính xác sau khi thiết kế API.")</f>
        <v>Thêm điểm cuối chính xác sau khi thiết kế API.</v>
      </c>
    </row>
    <row r="41" ht="22.5" customHeight="1">
      <c r="A41" s="40" t="str">
        <f>IF('API Screen DB Mapping'!A41="","",'API Screen DB Mapping'!A41)</f>
        <v>UC41</v>
      </c>
      <c r="B41" s="40" t="str">
        <f>IFERROR(__xludf.DUMMYFUNCTION("IF('API Screen DB Mapping'!B41="""","""",IFERROR(GOOGLETRANSLATE('API Screen DB Mapping'!B41,""en"",""vi""),'API Screen DB Mapping'!B41))"),"Báo cáo về việc nhiệm vụ không khả dụng")</f>
        <v>Báo cáo về việc nhiệm vụ không khả dụng</v>
      </c>
      <c r="C41" s="40" t="str">
        <f>IFERROR(__xludf.DUMMYFUNCTION("IF('API Screen DB Mapping'!C41="""","""",IFERROR(GOOGLETRANSLATE('API Screen DB Mapping'!C41,""en"",""vi""),'API Screen DB Mapping'!C41))"),"Flutter Mobile")</f>
        <v>Flutter Mobile</v>
      </c>
      <c r="D41" s="40" t="str">
        <f>IF('API Screen DB Mapping'!D41="","",'API Screen DB Mapping'!D41)</f>
        <v>/api/tasks/{id}/unavailability</v>
      </c>
      <c r="E41" s="40" t="str">
        <f>IF('API Screen DB Mapping'!E41="","",'API Screen DB Mapping'!E41)</f>
        <v>POST</v>
      </c>
      <c r="F41" s="40" t="str">
        <f>IF('API Screen DB Mapping'!F41="","",'API Screen DB Mapping'!F41)</f>
        <v>TBD</v>
      </c>
      <c r="G41" s="40" t="str">
        <f>IF('API Screen DB Mapping'!G41="","",'API Screen DB Mapping'!G41)</f>
        <v>TBD</v>
      </c>
      <c r="H41" s="40" t="str">
        <f>IF('API Screen DB Mapping'!H41="","",'API Screen DB Mapping'!H41)</f>
        <v>TaskUnavailability, Task, Notification</v>
      </c>
      <c r="I41" s="40" t="str">
        <f>IF('API Screen DB Mapping'!I41="","",'API Screen DB Mapping'!I41)</f>
        <v/>
      </c>
      <c r="J41" s="40" t="str">
        <f>IF('API Screen DB Mapping'!J41="","",'API Screen DB Mapping'!J41)</f>
        <v/>
      </c>
      <c r="K41" s="40" t="str">
        <f>IF('API Screen DB Mapping'!K41="","",SWITCH('API Screen DB Mapping'!K41,"Not Started","Chưa bắt đầu","In Progress","Đang làm","Done","Hoàn thành",'API Screen DB Mapping'!K41))</f>
        <v>Chưa bắt đầu</v>
      </c>
      <c r="L41" s="40" t="str">
        <f>IFERROR(__xludf.DUMMYFUNCTION("IF('API Screen DB Mapping'!L41="""","""",IFERROR(GOOGLETRANSLATE('API Screen DB Mapping'!L41,""en"",""vi""),'API Screen DB Mapping'!L41))"),"Thêm điểm cuối chính xác sau khi thiết kế API.")</f>
        <v>Thêm điểm cuối chính xác sau khi thiết kế API.</v>
      </c>
    </row>
    <row r="42" ht="22.5" customHeight="1">
      <c r="A42" s="40" t="str">
        <f>IF('API Screen DB Mapping'!A42="","",'API Screen DB Mapping'!A42)</f>
        <v>UC42</v>
      </c>
      <c r="B42" s="40" t="str">
        <f>IFERROR(__xludf.DUMMYFUNCTION("IF('API Screen DB Mapping'!B42="""","""",IFERROR(GOOGLETRANSLATE('API Screen DB Mapping'!B42,""en"",""vi""),'API Screen DB Mapping'!B42))"),"Quản lý việc tiếp quản nhiệm vụ định kỳ")</f>
        <v>Quản lý việc tiếp quản nhiệm vụ định kỳ</v>
      </c>
      <c r="C42" s="40" t="str">
        <f>IFERROR(__xludf.DUMMYFUNCTION("IF('API Screen DB Mapping'!C42="""","""",IFERROR(GOOGLETRANSLATE('API Screen DB Mapping'!C42,""en"",""vi""),'API Screen DB Mapping'!C42))"),"Flutter Mobile")</f>
        <v>Flutter Mobile</v>
      </c>
      <c r="D42" s="40" t="str">
        <f>IF('API Screen DB Mapping'!D42="","",'API Screen DB Mapping'!D42)</f>
        <v>/api/tasks/{id}/takeover</v>
      </c>
      <c r="E42" s="40" t="str">
        <f>IF('API Screen DB Mapping'!E42="","",'API Screen DB Mapping'!E42)</f>
        <v>PATCH</v>
      </c>
      <c r="F42" s="40" t="str">
        <f>IF('API Screen DB Mapping'!F42="","",'API Screen DB Mapping'!F42)</f>
        <v>TBD</v>
      </c>
      <c r="G42" s="40" t="str">
        <f>IF('API Screen DB Mapping'!G42="","",'API Screen DB Mapping'!G42)</f>
        <v>TBD</v>
      </c>
      <c r="H42" s="40" t="str">
        <f>IF('API Screen DB Mapping'!H42="","",'API Screen DB Mapping'!H42)</f>
        <v>Task, TaskAssignment, TaskUnavailability</v>
      </c>
      <c r="I42" s="40" t="str">
        <f>IF('API Screen DB Mapping'!I42="","",'API Screen DB Mapping'!I42)</f>
        <v/>
      </c>
      <c r="J42" s="40" t="str">
        <f>IF('API Screen DB Mapping'!J42="","",'API Screen DB Mapping'!J42)</f>
        <v/>
      </c>
      <c r="K42" s="40" t="str">
        <f>IF('API Screen DB Mapping'!K42="","",SWITCH('API Screen DB Mapping'!K42,"Not Started","Chưa bắt đầu","In Progress","Đang làm","Done","Hoàn thành",'API Screen DB Mapping'!K42))</f>
        <v>Chưa bắt đầu</v>
      </c>
      <c r="L42" s="40" t="str">
        <f>IFERROR(__xludf.DUMMYFUNCTION("IF('API Screen DB Mapping'!L42="""","""",IFERROR(GOOGLETRANSLATE('API Screen DB Mapping'!L42,""en"",""vi""),'API Screen DB Mapping'!L42))"),"Thêm điểm cuối chính xác sau khi thiết kế API.")</f>
        <v>Thêm điểm cuối chính xác sau khi thiết kế API.</v>
      </c>
    </row>
    <row r="43" ht="22.5" customHeight="1">
      <c r="A43" s="40" t="str">
        <f>IF('API Screen DB Mapping'!A43="","",'API Screen DB Mapping'!A43)</f>
        <v>UC43</v>
      </c>
      <c r="B43" s="40" t="str">
        <f>IFERROR(__xludf.DUMMYFUNCTION("IF('API Screen DB Mapping'!B43="""","""",IFERROR(GOOGLETRANSLATE('API Screen DB Mapping'!B43,""en"",""vi""),'API Screen DB Mapping'!B43))"),"Nộp báo cáo hoàn thành nhiệm vụ kèm bằng chứng.")</f>
        <v>Nộp báo cáo hoàn thành nhiệm vụ kèm bằng chứng.</v>
      </c>
      <c r="C43" s="40" t="str">
        <f>IFERROR(__xludf.DUMMYFUNCTION("IF('API Screen DB Mapping'!C43="""","""",IFERROR(GOOGLETRANSLATE('API Screen DB Mapping'!C43,""en"",""vi""),'API Screen DB Mapping'!C43))"),"Flutter Mobile")</f>
        <v>Flutter Mobile</v>
      </c>
      <c r="D43" s="40" t="str">
        <f>IF('API Screen DB Mapping'!D43="","",'API Screen DB Mapping'!D43)</f>
        <v>/api/tasks/{id}/completion</v>
      </c>
      <c r="E43" s="40" t="str">
        <f>IF('API Screen DB Mapping'!E43="","",'API Screen DB Mapping'!E43)</f>
        <v>POST</v>
      </c>
      <c r="F43" s="40" t="str">
        <f>IF('API Screen DB Mapping'!F43="","",'API Screen DB Mapping'!F43)</f>
        <v>TBD</v>
      </c>
      <c r="G43" s="40" t="str">
        <f>IF('API Screen DB Mapping'!G43="","",'API Screen DB Mapping'!G43)</f>
        <v>TBD</v>
      </c>
      <c r="H43" s="40" t="str">
        <f>IF('API Screen DB Mapping'!H43="","",'API Screen DB Mapping'!H43)</f>
        <v>TaskCompletion, TaskProof, TaskAssignment</v>
      </c>
      <c r="I43" s="40" t="str">
        <f>IF('API Screen DB Mapping'!I43="","",'API Screen DB Mapping'!I43)</f>
        <v/>
      </c>
      <c r="J43" s="40" t="str">
        <f>IF('API Screen DB Mapping'!J43="","",'API Screen DB Mapping'!J43)</f>
        <v/>
      </c>
      <c r="K43" s="40" t="str">
        <f>IF('API Screen DB Mapping'!K43="","",SWITCH('API Screen DB Mapping'!K43,"Not Started","Chưa bắt đầu","In Progress","Đang làm","Done","Hoàn thành",'API Screen DB Mapping'!K43))</f>
        <v>Chưa bắt đầu</v>
      </c>
      <c r="L43" s="40" t="str">
        <f>IFERROR(__xludf.DUMMYFUNCTION("IF('API Screen DB Mapping'!L43="""","""",IFERROR(GOOGLETRANSLATE('API Screen DB Mapping'!L43,""en"",""vi""),'API Screen DB Mapping'!L43))"),"Bằng chứng có thể bao gồm ghi chú/hình ảnh/video nếu được hỗ trợ.")</f>
        <v>Bằng chứng có thể bao gồm ghi chú/hình ảnh/video nếu được hỗ trợ.</v>
      </c>
    </row>
    <row r="44" ht="22.5" customHeight="1">
      <c r="A44" s="40" t="str">
        <f>IF('API Screen DB Mapping'!A44="","",'API Screen DB Mapping'!A44)</f>
        <v>UC44</v>
      </c>
      <c r="B44" s="40" t="str">
        <f>IFERROR(__xludf.DUMMYFUNCTION("IF('API Screen DB Mapping'!B44="""","""",IFERROR(GOOGLETRANSLATE('API Screen DB Mapping'!B44,""en"",""vi""),'API Screen DB Mapping'!B44))"),"Đánh giá việc hoàn thành nhiệm vụ")</f>
        <v>Đánh giá việc hoàn thành nhiệm vụ</v>
      </c>
      <c r="C44" s="40" t="str">
        <f>IFERROR(__xludf.DUMMYFUNCTION("IF('API Screen DB Mapping'!C44="""","""",IFERROR(GOOGLETRANSLATE('API Screen DB Mapping'!C44,""en"",""vi""),'API Screen DB Mapping'!C44))"),"Flutter Mobile")</f>
        <v>Flutter Mobile</v>
      </c>
      <c r="D44" s="40" t="str">
        <f>IF('API Screen DB Mapping'!D44="","",'API Screen DB Mapping'!D44)</f>
        <v>/api/tasks/{id}/completion-review</v>
      </c>
      <c r="E44" s="40" t="str">
        <f>IF('API Screen DB Mapping'!E44="","",'API Screen DB Mapping'!E44)</f>
        <v>PATCH</v>
      </c>
      <c r="F44" s="40" t="str">
        <f>IF('API Screen DB Mapping'!F44="","",'API Screen DB Mapping'!F44)</f>
        <v>TBD</v>
      </c>
      <c r="G44" s="40" t="str">
        <f>IF('API Screen DB Mapping'!G44="","",'API Screen DB Mapping'!G44)</f>
        <v>TBD</v>
      </c>
      <c r="H44" s="40" t="str">
        <f>IF('API Screen DB Mapping'!H44="","",'API Screen DB Mapping'!H44)</f>
        <v>TaskCompletion, Task, RewardSettlement</v>
      </c>
      <c r="I44" s="40" t="str">
        <f>IF('API Screen DB Mapping'!I44="","",'API Screen DB Mapping'!I44)</f>
        <v/>
      </c>
      <c r="J44" s="40" t="str">
        <f>IF('API Screen DB Mapping'!J44="","",'API Screen DB Mapping'!J44)</f>
        <v/>
      </c>
      <c r="K44" s="40" t="str">
        <f>IF('API Screen DB Mapping'!K44="","",SWITCH('API Screen DB Mapping'!K44,"Not Started","Chưa bắt đầu","In Progress","Đang làm","Done","Hoàn thành",'API Screen DB Mapping'!K44))</f>
        <v>Chưa bắt đầu</v>
      </c>
      <c r="L44" s="40" t="str">
        <f>IFERROR(__xludf.DUMMYFUNCTION("IF('API Screen DB Mapping'!L44="""","""",IFERROR(GOOGLETRANSLATE('API Screen DB Mapping'!L44,""en"",""vi""),'API Screen DB Mapping'!L44))"),"Việc phê duyệt nhiệm vụ không có nghĩa là tiền thưởng đã được trả.")</f>
        <v>Việc phê duyệt nhiệm vụ không có nghĩa là tiền thưởng đã được trả.</v>
      </c>
    </row>
    <row r="45" ht="22.5" customHeight="1">
      <c r="A45" s="40" t="str">
        <f>IF('API Screen DB Mapping'!A45="","",'API Screen DB Mapping'!A45)</f>
        <v>UC45</v>
      </c>
      <c r="B45" s="40" t="str">
        <f>IFERROR(__xludf.DUMMYFUNCTION("IF('API Screen DB Mapping'!B45="""","""",IFERROR(GOOGLETRANSLATE('API Screen DB Mapping'!B45,""en"",""vi""),'API Screen DB Mapping'!B45))"),"Tạo bản ghi thanh toán tiền thưởng")</f>
        <v>Tạo bản ghi thanh toán tiền thưởng</v>
      </c>
      <c r="C45" s="40" t="str">
        <f>IFERROR(__xludf.DUMMYFUNCTION("IF('API Screen DB Mapping'!C45="""","""",IFERROR(GOOGLETRANSLATE('API Screen DB Mapping'!C45,""en"",""vi""),'API Screen DB Mapping'!C45))"),"Flutter Mobile")</f>
        <v>Flutter Mobile</v>
      </c>
      <c r="D45" s="40" t="str">
        <f>IF('API Screen DB Mapping'!D45="","",'API Screen DB Mapping'!D45)</f>
        <v>/api/rewards/settlements</v>
      </c>
      <c r="E45" s="40" t="str">
        <f>IF('API Screen DB Mapping'!E45="","",'API Screen DB Mapping'!E45)</f>
        <v>POST</v>
      </c>
      <c r="F45" s="40" t="str">
        <f>IF('API Screen DB Mapping'!F45="","",'API Screen DB Mapping'!F45)</f>
        <v>TBD</v>
      </c>
      <c r="G45" s="40" t="str">
        <f>IF('API Screen DB Mapping'!G45="","",'API Screen DB Mapping'!G45)</f>
        <v>TBD</v>
      </c>
      <c r="H45" s="40" t="str">
        <f>IF('API Screen DB Mapping'!H45="","",'API Screen DB Mapping'!H45)</f>
        <v>RewardSettlement, Task, TaskCompletion, Notification</v>
      </c>
      <c r="I45" s="40" t="str">
        <f>IF('API Screen DB Mapping'!I45="","",'API Screen DB Mapping'!I45)</f>
        <v/>
      </c>
      <c r="J45" s="40" t="str">
        <f>IF('API Screen DB Mapping'!J45="","",'API Screen DB Mapping'!J45)</f>
        <v/>
      </c>
      <c r="K45" s="40" t="str">
        <f>IF('API Screen DB Mapping'!K45="","",SWITCH('API Screen DB Mapping'!K45,"Not Started","Chưa bắt đầu","In Progress","Đang làm","Done","Hoàn thành",'API Screen DB Mapping'!K45))</f>
        <v>Chưa bắt đầu</v>
      </c>
      <c r="L45" s="40" t="str">
        <f>IFERROR(__xludf.DUMMYFUNCTION("IF('API Screen DB Mapping'!L45="""","""",IFERROR(GOOGLETRANSLATE('API Screen DB Mapping'!L45,""en"",""vi""),'API Screen DB Mapping'!L45))"),"Được tạo sau khi nhiệm vụ được phê duyệt hoàn thành nếu nhiệm vụ đó có phần thưởng.")</f>
        <v>Được tạo sau khi nhiệm vụ được phê duyệt hoàn thành nếu nhiệm vụ đó có phần thưởng.</v>
      </c>
    </row>
    <row r="46" ht="22.5" customHeight="1">
      <c r="A46" s="40" t="str">
        <f>IF('API Screen DB Mapping'!A46="","",'API Screen DB Mapping'!A46)</f>
        <v>UC46</v>
      </c>
      <c r="B46" s="40" t="str">
        <f>IFERROR(__xludf.DUMMYFUNCTION("IF('API Screen DB Mapping'!B46="""","""",IFERROR(GOOGLETRANSLATE('API Screen DB Mapping'!B46,""en"",""vi""),'API Screen DB Mapping'!B46))"),"Đánh dấu phần thưởng là đã được thanh toán từ bên ngoài.")</f>
        <v>Đánh dấu phần thưởng là đã được thanh toán từ bên ngoài.</v>
      </c>
      <c r="C46" s="40" t="str">
        <f>IFERROR(__xludf.DUMMYFUNCTION("IF('API Screen DB Mapping'!C46="""","""",IFERROR(GOOGLETRANSLATE('API Screen DB Mapping'!C46,""en"",""vi""),'API Screen DB Mapping'!C46))"),"Flutter Mobile")</f>
        <v>Flutter Mobile</v>
      </c>
      <c r="D46" s="40" t="str">
        <f>IF('API Screen DB Mapping'!D46="","",'API Screen DB Mapping'!D46)</f>
        <v>/api/rewards/settlements/{id}/external-settlement</v>
      </c>
      <c r="E46" s="40" t="str">
        <f>IF('API Screen DB Mapping'!E46="","",'API Screen DB Mapping'!E46)</f>
        <v>PATCH</v>
      </c>
      <c r="F46" s="40" t="str">
        <f>IF('API Screen DB Mapping'!F46="","",'API Screen DB Mapping'!F46)</f>
        <v>TBD</v>
      </c>
      <c r="G46" s="40" t="str">
        <f>IF('API Screen DB Mapping'!G46="","",'API Screen DB Mapping'!G46)</f>
        <v>TBD</v>
      </c>
      <c r="H46" s="40" t="str">
        <f>IF('API Screen DB Mapping'!H46="","",'API Screen DB Mapping'!H46)</f>
        <v>RewardSettlement, ExternalSettlementProof, Notification</v>
      </c>
      <c r="I46" s="40" t="str">
        <f>IF('API Screen DB Mapping'!I46="","",'API Screen DB Mapping'!I46)</f>
        <v/>
      </c>
      <c r="J46" s="40" t="str">
        <f>IF('API Screen DB Mapping'!J46="","",'API Screen DB Mapping'!J46)</f>
        <v/>
      </c>
      <c r="K46" s="40" t="str">
        <f>IF('API Screen DB Mapping'!K46="","",SWITCH('API Screen DB Mapping'!K46,"Not Started","Chưa bắt đầu","In Progress","Đang làm","Done","Hoàn thành",'API Screen DB Mapping'!K46))</f>
        <v>Chưa bắt đầu</v>
      </c>
      <c r="L46" s="40" t="str">
        <f>IFERROR(__xludf.DUMMYFUNCTION("IF('API Screen DB Mapping'!L46="""","""",IFERROR(GOOGLETRANSLATE('API Screen DB Mapping'!L46,""en"",""vi""),'API Screen DB Mapping'!L46))"),"Hệ thống chỉ ghi lại trạng thái thanh toán bên ngoài/ngoại tuyến.")</f>
        <v>Hệ thống chỉ ghi lại trạng thái thanh toán bên ngoài/ngoại tuyến.</v>
      </c>
    </row>
    <row r="47" ht="22.5" customHeight="1">
      <c r="A47" s="40" t="str">
        <f>IF('API Screen DB Mapping'!A47="","",'API Screen DB Mapping'!A47)</f>
        <v>UC47</v>
      </c>
      <c r="B47" s="40" t="str">
        <f>IFERROR(__xludf.DUMMYFUNCTION("IF('API Screen DB Mapping'!B47="""","""",IFERROR(GOOGLETRANSLATE('API Screen DB Mapping'!B47,""en"",""vi""),'API Screen DB Mapping'!B47))"),"Xác nhận đã nhận phần thưởng")</f>
        <v>Xác nhận đã nhận phần thưởng</v>
      </c>
      <c r="C47" s="40" t="str">
        <f>IFERROR(__xludf.DUMMYFUNCTION("IF('API Screen DB Mapping'!C47="""","""",IFERROR(GOOGLETRANSLATE('API Screen DB Mapping'!C47,""en"",""vi""),'API Screen DB Mapping'!C47))"),"Flutter Mobile")</f>
        <v>Flutter Mobile</v>
      </c>
      <c r="D47" s="40" t="str">
        <f>IF('API Screen DB Mapping'!D47="","",'API Screen DB Mapping'!D47)</f>
        <v>/api/rewards/settlements/{id}/confirm-received</v>
      </c>
      <c r="E47" s="40" t="str">
        <f>IF('API Screen DB Mapping'!E47="","",'API Screen DB Mapping'!E47)</f>
        <v>PATCH</v>
      </c>
      <c r="F47" s="40" t="str">
        <f>IF('API Screen DB Mapping'!F47="","",'API Screen DB Mapping'!F47)</f>
        <v>TBD</v>
      </c>
      <c r="G47" s="40" t="str">
        <f>IF('API Screen DB Mapping'!G47="","",'API Screen DB Mapping'!G47)</f>
        <v>TBD</v>
      </c>
      <c r="H47" s="40" t="str">
        <f>IF('API Screen DB Mapping'!H47="","",'API Screen DB Mapping'!H47)</f>
        <v>RewardSettlement, Notification</v>
      </c>
      <c r="I47" s="40" t="str">
        <f>IF('API Screen DB Mapping'!I47="","",'API Screen DB Mapping'!I47)</f>
        <v/>
      </c>
      <c r="J47" s="40" t="str">
        <f>IF('API Screen DB Mapping'!J47="","",'API Screen DB Mapping'!J47)</f>
        <v/>
      </c>
      <c r="K47" s="40" t="str">
        <f>IF('API Screen DB Mapping'!K47="","",SWITCH('API Screen DB Mapping'!K47,"Not Started","Chưa bắt đầu","In Progress","Đang làm","Done","Hoàn thành",'API Screen DB Mapping'!K47))</f>
        <v>Chưa bắt đầu</v>
      </c>
      <c r="L47" s="40" t="str">
        <f>IFERROR(__xludf.DUMMYFUNCTION("IF('API Screen DB Mapping'!L47="""","""",IFERROR(GOOGLETRANSLATE('API Screen DB Mapping'!L47,""en"",""vi""),'API Screen DB Mapping'!L47))"),"Thành viên cần xác nhận trước khi trạng thái được chuyển sang ""Đã thanh toán"".")</f>
        <v>Thành viên cần xác nhận trước khi trạng thái được chuyển sang "Đã thanh toán".</v>
      </c>
    </row>
    <row r="48" ht="22.5" customHeight="1">
      <c r="A48" s="40" t="str">
        <f>IF('API Screen DB Mapping'!A48="","",'API Screen DB Mapping'!A48)</f>
        <v>UC48</v>
      </c>
      <c r="B48" s="40" t="str">
        <f>IFERROR(__xludf.DUMMYFUNCTION("IF('API Screen DB Mapping'!B48="""","""",IFERROR(GOOGLETRANSLATE('API Screen DB Mapping'!B48,""en"",""vi""),'API Screen DB Mapping'!B48))"),"Báo cáo chưa nhận được phần thưởng / Khiếu nại")</f>
        <v>Báo cáo chưa nhận được phần thưởng / Khiếu nại</v>
      </c>
      <c r="C48" s="40" t="str">
        <f>IFERROR(__xludf.DUMMYFUNCTION("IF('API Screen DB Mapping'!C48="""","""",IFERROR(GOOGLETRANSLATE('API Screen DB Mapping'!C48,""en"",""vi""),'API Screen DB Mapping'!C48))"),"Flutter Mobile")</f>
        <v>Flutter Mobile</v>
      </c>
      <c r="D48" s="40" t="str">
        <f>IF('API Screen DB Mapping'!D48="","",'API Screen DB Mapping'!D48)</f>
        <v>/api/rewards/settlements/{id}/dispute</v>
      </c>
      <c r="E48" s="40" t="str">
        <f>IF('API Screen DB Mapping'!E48="","",'API Screen DB Mapping'!E48)</f>
        <v>POST</v>
      </c>
      <c r="F48" s="40" t="str">
        <f>IF('API Screen DB Mapping'!F48="","",'API Screen DB Mapping'!F48)</f>
        <v>TBD</v>
      </c>
      <c r="G48" s="40" t="str">
        <f>IF('API Screen DB Mapping'!G48="","",'API Screen DB Mapping'!G48)</f>
        <v>TBD</v>
      </c>
      <c r="H48" s="40" t="str">
        <f>IF('API Screen DB Mapping'!H48="","",'API Screen DB Mapping'!H48)</f>
        <v>RewardSettlement, RewardDispute, Notification</v>
      </c>
      <c r="I48" s="40" t="str">
        <f>IF('API Screen DB Mapping'!I48="","",'API Screen DB Mapping'!I48)</f>
        <v/>
      </c>
      <c r="J48" s="40" t="str">
        <f>IF('API Screen DB Mapping'!J48="","",'API Screen DB Mapping'!J48)</f>
        <v/>
      </c>
      <c r="K48" s="40" t="str">
        <f>IF('API Screen DB Mapping'!K48="","",SWITCH('API Screen DB Mapping'!K48,"Not Started","Chưa bắt đầu","In Progress","Đang làm","Done","Hoàn thành",'API Screen DB Mapping'!K48))</f>
        <v>Chưa bắt đầu</v>
      </c>
      <c r="L48" s="40" t="str">
        <f>IFERROR(__xludf.DUMMYFUNCTION("IF('API Screen DB Mapping'!L48="""","""",IFERROR(GOOGLETRANSLATE('API Screen DB Mapping'!L48,""en"",""vi""),'API Screen DB Mapping'!L48))"),"Được sử dụng khi thành viên chưa thực sự nhận được phần thưởng.")</f>
        <v>Được sử dụng khi thành viên chưa thực sự nhận được phần thưởng.</v>
      </c>
    </row>
    <row r="49" ht="22.5" customHeight="1">
      <c r="A49" s="40" t="str">
        <f>IF('API Screen DB Mapping'!A49="","",'API Screen DB Mapping'!A49)</f>
        <v>UC49</v>
      </c>
      <c r="B49" s="40" t="str">
        <f>IFERROR(__xludf.DUMMYFUNCTION("IF('API Screen DB Mapping'!B49="""","""",IFERROR(GOOGLETRANSLATE('API Screen DB Mapping'!B49,""en"",""vi""),'API Screen DB Mapping'!B49))"),"Xem lịch sử phân công nhiệm vụ và thanh toán phần thưởng")</f>
        <v>Xem lịch sử phân công nhiệm vụ và thanh toán phần thưởng</v>
      </c>
      <c r="C49" s="40" t="str">
        <f>IFERROR(__xludf.DUMMYFUNCTION("IF('API Screen DB Mapping'!C49="""","""",IFERROR(GOOGLETRANSLATE('API Screen DB Mapping'!C49,""en"",""vi""),'API Screen DB Mapping'!C49))"),"Flutter Mobile")</f>
        <v>Flutter Mobile</v>
      </c>
      <c r="D49" s="40" t="str">
        <f>IF('API Screen DB Mapping'!D49="","",'API Screen DB Mapping'!D49)</f>
        <v>/api/tasks/my-history</v>
      </c>
      <c r="E49" s="40" t="str">
        <f>IF('API Screen DB Mapping'!E49="","",'API Screen DB Mapping'!E49)</f>
        <v>GET</v>
      </c>
      <c r="F49" s="40" t="str">
        <f>IF('API Screen DB Mapping'!F49="","",'API Screen DB Mapping'!F49)</f>
        <v>TBD</v>
      </c>
      <c r="G49" s="40" t="str">
        <f>IF('API Screen DB Mapping'!G49="","",'API Screen DB Mapping'!G49)</f>
        <v>TBD</v>
      </c>
      <c r="H49" s="40" t="str">
        <f>IF('API Screen DB Mapping'!H49="","",'API Screen DB Mapping'!H49)</f>
        <v>Task, TaskAssignment, TaskCompletion, RewardSettlement</v>
      </c>
      <c r="I49" s="40" t="str">
        <f>IF('API Screen DB Mapping'!I49="","",'API Screen DB Mapping'!I49)</f>
        <v/>
      </c>
      <c r="J49" s="40" t="str">
        <f>IF('API Screen DB Mapping'!J49="","",'API Screen DB Mapping'!J49)</f>
        <v/>
      </c>
      <c r="K49" s="40" t="str">
        <f>IF('API Screen DB Mapping'!K49="","",SWITCH('API Screen DB Mapping'!K49,"Not Started","Chưa bắt đầu","In Progress","Đang làm","Done","Hoàn thành",'API Screen DB Mapping'!K49))</f>
        <v>Chưa bắt đầu</v>
      </c>
      <c r="L49" s="40" t="str">
        <f>IFERROR(__xludf.DUMMYFUNCTION("IF('API Screen DB Mapping'!L49="""","""",IFERROR(GOOGLETRANSLATE('API Screen DB Mapping'!L49,""en"",""vi""),'API Screen DB Mapping'!L49))"),"Hiển thị trạng thái nhiệm vụ và trạng thái thanh toán phần thưởng.")</f>
        <v>Hiển thị trạng thái nhiệm vụ và trạng thái thanh toán phần thưởng.</v>
      </c>
    </row>
    <row r="50" ht="22.5" customHeight="1">
      <c r="A50" s="40" t="str">
        <f>IF('API Screen DB Mapping'!A50="","",'API Screen DB Mapping'!A50)</f>
        <v>UC50</v>
      </c>
      <c r="B50" s="40" t="str">
        <f>IFERROR(__xludf.DUMMYFUNCTION("IF('API Screen DB Mapping'!B50="""","""",IFERROR(GOOGLETRANSLATE('API Screen DB Mapping'!B50,""en"",""vi""),'API Screen DB Mapping'!B50))"),"Kích hoạt cảnh báo SOS từ ứng dụng di động")</f>
        <v>Kích hoạt cảnh báo SOS từ ứng dụng di động</v>
      </c>
      <c r="C50" s="40" t="str">
        <f>IFERROR(__xludf.DUMMYFUNCTION("IF('API Screen DB Mapping'!C50="""","""",IFERROR(GOOGLETRANSLATE('API Screen DB Mapping'!C50,""en"",""vi""),'API Screen DB Mapping'!C50))"),"Flutter Mobile")</f>
        <v>Flutter Mobile</v>
      </c>
      <c r="D50" s="40" t="str">
        <f>IF('API Screen DB Mapping'!D50="","",'API Screen DB Mapping'!D50)</f>
        <v>/api/sos-alerts</v>
      </c>
      <c r="E50" s="40" t="str">
        <f>IF('API Screen DB Mapping'!E50="","",'API Screen DB Mapping'!E50)</f>
        <v>POST</v>
      </c>
      <c r="F50" s="40" t="str">
        <f>IF('API Screen DB Mapping'!F50="","",'API Screen DB Mapping'!F50)</f>
        <v>TBD</v>
      </c>
      <c r="G50" s="40" t="str">
        <f>IF('API Screen DB Mapping'!G50="","",'API Screen DB Mapping'!G50)</f>
        <v>TBD</v>
      </c>
      <c r="H50" s="40" t="str">
        <f>IF('API Screen DB Mapping'!H50="","",'API Screen DB Mapping'!H50)</f>
        <v>SOSAlert, SOSResponse, LocationHistory, Notification</v>
      </c>
      <c r="I50" s="40" t="str">
        <f>IF('API Screen DB Mapping'!I50="","",'API Screen DB Mapping'!I50)</f>
        <v/>
      </c>
      <c r="J50" s="40" t="str">
        <f>IF('API Screen DB Mapping'!J50="","",'API Screen DB Mapping'!J50)</f>
        <v/>
      </c>
      <c r="K50" s="40" t="str">
        <f>IF('API Screen DB Mapping'!K50="","",SWITCH('API Screen DB Mapping'!K50,"Not Started","Chưa bắt đầu","In Progress","Đang làm","Done","Hoàn thành",'API Screen DB Mapping'!K50))</f>
        <v>Chưa bắt đầu</v>
      </c>
      <c r="L50" s="40" t="str">
        <f>IFERROR(__xludf.DUMMYFUNCTION("IF('API Screen DB Mapping'!L50="""","""",IFERROR(GOOGLETRANSLATE('API Screen DB Mapping'!L50,""en"",""vi""),'API Screen DB Mapping'!L50))"),"Chức năng SOS di động vẫn là cốt lõi.")</f>
        <v>Chức năng SOS di động vẫn là cốt lõi.</v>
      </c>
    </row>
    <row r="51" ht="22.5" customHeight="1">
      <c r="A51" s="40" t="str">
        <f>IF('API Screen DB Mapping'!A51="","",'API Screen DB Mapping'!A51)</f>
        <v>UC51</v>
      </c>
      <c r="B51" s="40" t="str">
        <f>IFERROR(__xludf.DUMMYFUNCTION("IF('API Screen DB Mapping'!B51="""","""",IFERROR(GOOGLETRANSLATE('API Screen DB Mapping'!B51,""en"",""vi""),'API Screen DB Mapping'!B51))"),"Xem và phản hồi cảnh báo SOS")</f>
        <v>Xem và phản hồi cảnh báo SOS</v>
      </c>
      <c r="C51" s="40" t="str">
        <f>IFERROR(__xludf.DUMMYFUNCTION("IF('API Screen DB Mapping'!C51="""","""",IFERROR(GOOGLETRANSLATE('API Screen DB Mapping'!C51,""en"",""vi""),'API Screen DB Mapping'!C51))"),"Flutter Mobile")</f>
        <v>Flutter Mobile</v>
      </c>
      <c r="D51" s="40" t="str">
        <f>IF('API Screen DB Mapping'!D51="","",'API Screen DB Mapping'!D51)</f>
        <v>/api/sos-alerts/{id}</v>
      </c>
      <c r="E51" s="40" t="str">
        <f>IF('API Screen DB Mapping'!E51="","",'API Screen DB Mapping'!E51)</f>
        <v>GET/POST</v>
      </c>
      <c r="F51" s="40" t="str">
        <f>IF('API Screen DB Mapping'!F51="","",'API Screen DB Mapping'!F51)</f>
        <v>TBD</v>
      </c>
      <c r="G51" s="40" t="str">
        <f>IF('API Screen DB Mapping'!G51="","",'API Screen DB Mapping'!G51)</f>
        <v>TBD</v>
      </c>
      <c r="H51" s="40" t="str">
        <f>IF('API Screen DB Mapping'!H51="","",'API Screen DB Mapping'!H51)</f>
        <v>SOSAlert, SOSResponse, LocationHistory</v>
      </c>
      <c r="I51" s="40" t="str">
        <f>IF('API Screen DB Mapping'!I51="","",'API Screen DB Mapping'!I51)</f>
        <v/>
      </c>
      <c r="J51" s="40" t="str">
        <f>IF('API Screen DB Mapping'!J51="","",'API Screen DB Mapping'!J51)</f>
        <v/>
      </c>
      <c r="K51" s="40" t="str">
        <f>IF('API Screen DB Mapping'!K51="","",SWITCH('API Screen DB Mapping'!K51,"Not Started","Chưa bắt đầu","In Progress","Đang làm","Done","Hoàn thành",'API Screen DB Mapping'!K51))</f>
        <v>Chưa bắt đầu</v>
      </c>
      <c r="L51" s="40" t="str">
        <f>IFERROR(__xludf.DUMMYFUNCTION("IF('API Screen DB Mapping'!L51="""","""",IFERROR(GOOGLETRANSLATE('API Screen DB Mapping'!L51,""en"",""vi""),'API Screen DB Mapping'!L51))"),"Các thành viên trong gia đình có thể xem và phản hồi các cuộc gọi khẩn cấp (SOS) đang diễn ra.")</f>
        <v>Các thành viên trong gia đình có thể xem và phản hồi các cuộc gọi khẩn cấp (SOS) đang diễn ra.</v>
      </c>
    </row>
    <row r="52" ht="22.5" customHeight="1">
      <c r="A52" s="40" t="str">
        <f>IF('API Screen DB Mapping'!A52="","",'API Screen DB Mapping'!A52)</f>
        <v>UC52</v>
      </c>
      <c r="B52" s="40" t="str">
        <f>IFERROR(__xludf.DUMMYFUNCTION("IF('API Screen DB Mapping'!B52="""","""",IFERROR(GOOGLETRANSLATE('API Screen DB Mapping'!B52,""en"",""vi""),'API Screen DB Mapping'!B52))"),"Xác nhận an toàn")</f>
        <v>Xác nhận an toàn</v>
      </c>
      <c r="C52" s="40" t="str">
        <f>IFERROR(__xludf.DUMMYFUNCTION("IF('API Screen DB Mapping'!C52="""","""",IFERROR(GOOGLETRANSLATE('API Screen DB Mapping'!C52,""en"",""vi""),'API Screen DB Mapping'!C52))"),"Flutter Mobile")</f>
        <v>Flutter Mobile</v>
      </c>
      <c r="D52" s="40" t="str">
        <f>IF('API Screen DB Mapping'!D52="","",'API Screen DB Mapping'!D52)</f>
        <v>/api/sos-alerts/{id}/confirm-safety</v>
      </c>
      <c r="E52" s="40" t="str">
        <f>IF('API Screen DB Mapping'!E52="","",'API Screen DB Mapping'!E52)</f>
        <v>PATCH</v>
      </c>
      <c r="F52" s="40" t="str">
        <f>IF('API Screen DB Mapping'!F52="","",'API Screen DB Mapping'!F52)</f>
        <v>TBD</v>
      </c>
      <c r="G52" s="40" t="str">
        <f>IF('API Screen DB Mapping'!G52="","",'API Screen DB Mapping'!G52)</f>
        <v>TBD</v>
      </c>
      <c r="H52" s="40" t="str">
        <f>IF('API Screen DB Mapping'!H52="","",'API Screen DB Mapping'!H52)</f>
        <v>SOSAlert, SOSResponse</v>
      </c>
      <c r="I52" s="40" t="str">
        <f>IF('API Screen DB Mapping'!I52="","",'API Screen DB Mapping'!I52)</f>
        <v/>
      </c>
      <c r="J52" s="40" t="str">
        <f>IF('API Screen DB Mapping'!J52="","",'API Screen DB Mapping'!J52)</f>
        <v/>
      </c>
      <c r="K52" s="40" t="str">
        <f>IF('API Screen DB Mapping'!K52="","",SWITCH('API Screen DB Mapping'!K52,"Not Started","Chưa bắt đầu","In Progress","Đang làm","Done","Hoàn thành",'API Screen DB Mapping'!K52))</f>
        <v>Chưa bắt đầu</v>
      </c>
      <c r="L52" s="40" t="str">
        <f>IFERROR(__xludf.DUMMYFUNCTION("IF('API Screen DB Mapping'!L52="""","""",IFERROR(GOOGLETRANSLATE('API Screen DB Mapping'!L52,""en"",""vi""),'API Screen DB Mapping'!L52))"),"Việc xác nhận an toàn có thể truy vết được.")</f>
        <v>Việc xác nhận an toàn có thể truy vết được.</v>
      </c>
    </row>
    <row r="53" ht="22.5" customHeight="1">
      <c r="A53" s="40" t="str">
        <f>IF('API Screen DB Mapping'!A53="","",'API Screen DB Mapping'!A53)</f>
        <v>UC53</v>
      </c>
      <c r="B53" s="40" t="str">
        <f>IFERROR(__xludf.DUMMYFUNCTION("IF('API Screen DB Mapping'!B53="""","""",IFERROR(GOOGLETRANSLATE('API Screen DB Mapping'!B53,""en"",""vi""),'API Screen DB Mapping'!B53))"),"Giải quyết hoặc hủy cảnh báo SOS")</f>
        <v>Giải quyết hoặc hủy cảnh báo SOS</v>
      </c>
      <c r="C53" s="40" t="str">
        <f>IFERROR(__xludf.DUMMYFUNCTION("IF('API Screen DB Mapping'!C53="""","""",IFERROR(GOOGLETRANSLATE('API Screen DB Mapping'!C53,""en"",""vi""),'API Screen DB Mapping'!C53))"),"Flutter Mobile")</f>
        <v>Flutter Mobile</v>
      </c>
      <c r="D53" s="40" t="str">
        <f>IF('API Screen DB Mapping'!D53="","",'API Screen DB Mapping'!D53)</f>
        <v>/api/sos-alerts/{id}/resolve</v>
      </c>
      <c r="E53" s="40" t="str">
        <f>IF('API Screen DB Mapping'!E53="","",'API Screen DB Mapping'!E53)</f>
        <v>PATCH</v>
      </c>
      <c r="F53" s="40" t="str">
        <f>IF('API Screen DB Mapping'!F53="","",'API Screen DB Mapping'!F53)</f>
        <v>TBD</v>
      </c>
      <c r="G53" s="40" t="str">
        <f>IF('API Screen DB Mapping'!G53="","",'API Screen DB Mapping'!G53)</f>
        <v>TBD</v>
      </c>
      <c r="H53" s="40" t="str">
        <f>IF('API Screen DB Mapping'!H53="","",'API Screen DB Mapping'!H53)</f>
        <v>SOSAlert, SOSResponse</v>
      </c>
      <c r="I53" s="40" t="str">
        <f>IF('API Screen DB Mapping'!I53="","",'API Screen DB Mapping'!I53)</f>
        <v/>
      </c>
      <c r="J53" s="40" t="str">
        <f>IF('API Screen DB Mapping'!J53="","",'API Screen DB Mapping'!J53)</f>
        <v/>
      </c>
      <c r="K53" s="40" t="str">
        <f>IF('API Screen DB Mapping'!K53="","",SWITCH('API Screen DB Mapping'!K53,"Not Started","Chưa bắt đầu","In Progress","Đang làm","Done","Hoàn thành",'API Screen DB Mapping'!K53))</f>
        <v>Chưa bắt đầu</v>
      </c>
      <c r="L53" s="40" t="str">
        <f>IFERROR(__xludf.DUMMYFUNCTION("IF('API Screen DB Mapping'!L53="""","""",IFERROR(GOOGLETRANSLATE('API Screen DB Mapping'!L53,""en"",""vi""),'API Screen DB Mapping'!L53))"),"Cần có sự cho phép và lý do/xác nhận.")</f>
        <v>Cần có sự cho phép và lý do/xác nhận.</v>
      </c>
    </row>
    <row r="54" ht="22.5" customHeight="1">
      <c r="A54" s="40" t="str">
        <f>IF('API Screen DB Mapping'!A54="","",'API Screen DB Mapping'!A54)</f>
        <v>UC54</v>
      </c>
      <c r="B54" s="40" t="str">
        <f>IFERROR(__xludf.DUMMYFUNCTION("IF('API Screen DB Mapping'!B54="""","""",IFERROR(GOOGLETRANSLATE('API Screen DB Mapping'!B54,""en"",""vi""),'API Screen DB Mapping'!B54))"),"Xem vị trí SOS cơ bản hoặc lịch sử tuyến đường")</f>
        <v>Xem vị trí SOS cơ bản hoặc lịch sử tuyến đường</v>
      </c>
      <c r="C54" s="40" t="str">
        <f>IFERROR(__xludf.DUMMYFUNCTION("IF('API Screen DB Mapping'!C54="""","""",IFERROR(GOOGLETRANSLATE('API Screen DB Mapping'!C54,""en"",""vi""),'API Screen DB Mapping'!C54))"),"Flutter Mobile")</f>
        <v>Flutter Mobile</v>
      </c>
      <c r="D54" s="40" t="str">
        <f>IF('API Screen DB Mapping'!D54="","",'API Screen DB Mapping'!D54)</f>
        <v>/api/sos-alerts/{id}/location-history</v>
      </c>
      <c r="E54" s="40" t="str">
        <f>IF('API Screen DB Mapping'!E54="","",'API Screen DB Mapping'!E54)</f>
        <v>GET</v>
      </c>
      <c r="F54" s="40" t="str">
        <f>IF('API Screen DB Mapping'!F54="","",'API Screen DB Mapping'!F54)</f>
        <v>TBD</v>
      </c>
      <c r="G54" s="40" t="str">
        <f>IF('API Screen DB Mapping'!G54="","",'API Screen DB Mapping'!G54)</f>
        <v>TBD</v>
      </c>
      <c r="H54" s="40" t="str">
        <f>IF('API Screen DB Mapping'!H54="","",'API Screen DB Mapping'!H54)</f>
        <v>SOSAlert, LocationHistory</v>
      </c>
      <c r="I54" s="40" t="str">
        <f>IF('API Screen DB Mapping'!I54="","",'API Screen DB Mapping'!I54)</f>
        <v/>
      </c>
      <c r="J54" s="40" t="str">
        <f>IF('API Screen DB Mapping'!J54="","",'API Screen DB Mapping'!J54)</f>
        <v/>
      </c>
      <c r="K54" s="40" t="str">
        <f>IF('API Screen DB Mapping'!K54="","",SWITCH('API Screen DB Mapping'!K54,"Not Started","Chưa bắt đầu","In Progress","Đang làm","Done","Hoàn thành",'API Screen DB Mapping'!K54))</f>
        <v>Chưa bắt đầu</v>
      </c>
      <c r="L54" s="40" t="str">
        <f>IFERROR(__xludf.DUMMYFUNCTION("IF('API Screen DB Mapping'!L54="""","""",IFERROR(GOOGLETRANSLATE('API Screen DB Mapping'!L54,""en"",""vi""),'API Screen DB Mapping'!L54))"),"Chỉ hiển thị lịch sử lộ trình/vị trí của ActiveSOS.")</f>
        <v>Chỉ hiển thị lịch sử lộ trình/vị trí của ActiveSOS.</v>
      </c>
    </row>
    <row r="55" ht="22.5" customHeight="1">
      <c r="A55" s="40" t="str">
        <f>IF('API Screen DB Mapping'!A55="","",'API Screen DB Mapping'!A55)</f>
        <v>UC55</v>
      </c>
      <c r="B55" s="40" t="str">
        <f>IFERROR(__xludf.DUMMYFUNCTION("IF('API Screen DB Mapping'!B55="""","""",IFERROR(GOOGLETRANSLATE('API Screen DB Mapping'!B55,""en"",""vi""),'API Screen DB Mapping'!B55))"),"Cấu hình danh bạ và cài đặt SOS")</f>
        <v>Cấu hình danh bạ và cài đặt SOS</v>
      </c>
      <c r="C55" s="40" t="str">
        <f>IFERROR(__xludf.DUMMYFUNCTION("IF('API Screen DB Mapping'!C55="""","""",IFERROR(GOOGLETRANSLATE('API Screen DB Mapping'!C55,""en"",""vi""),'API Screen DB Mapping'!C55))"),"Flutter Mobile")</f>
        <v>Flutter Mobile</v>
      </c>
      <c r="D55" s="40" t="str">
        <f>IF('API Screen DB Mapping'!D55="","",'API Screen DB Mapping'!D55)</f>
        <v>/api/sos-alerts/settings</v>
      </c>
      <c r="E55" s="40" t="str">
        <f>IF('API Screen DB Mapping'!E55="","",'API Screen DB Mapping'!E55)</f>
        <v>GET/POST/PATCH</v>
      </c>
      <c r="F55" s="40" t="str">
        <f>IF('API Screen DB Mapping'!F55="","",'API Screen DB Mapping'!F55)</f>
        <v>SOSSettingsDto</v>
      </c>
      <c r="G55" s="40" t="str">
        <f>IF('API Screen DB Mapping'!G55="","",'API Screen DB Mapping'!G55)</f>
        <v>SOSSettingsResponseDto</v>
      </c>
      <c r="H55" s="40" t="str">
        <f>IF('API Screen DB Mapping'!H55="","",'API Screen DB Mapping'!H55)</f>
        <v>SOSSetting, EmergencyContact</v>
      </c>
      <c r="I55" s="40" t="str">
        <f>IF('API Screen DB Mapping'!I55="","",'API Screen DB Mapping'!I55)</f>
        <v/>
      </c>
      <c r="J55" s="40" t="str">
        <f>IF('API Screen DB Mapping'!J55="","",'API Screen DB Mapping'!J55)</f>
        <v/>
      </c>
      <c r="K55" s="40" t="str">
        <f>IF('API Screen DB Mapping'!K55="","",SWITCH('API Screen DB Mapping'!K55,"Not Started","Chưa bắt đầu","In Progress","Đang làm","Done","Hoàn thành",'API Screen DB Mapping'!K55))</f>
        <v>Chưa bắt đầu</v>
      </c>
      <c r="L55" s="40" t="str">
        <f>IFERROR(__xludf.DUMMYFUNCTION("IF('API Screen DB Mapping'!L55="""","""",IFERROR(GOOGLETRANSLATE('API Screen DB Mapping'!L55,""en"",""vi""),'API Screen DB Mapping'!L55))"),"Các thiết lập xác định hành vi thông báo SOS.")</f>
        <v>Các thiết lập xác định hành vi thông báo SOS.</v>
      </c>
    </row>
    <row r="56" ht="22.5" customHeight="1">
      <c r="A56" s="40" t="str">
        <f>IF('API Screen DB Mapping'!A56="","",'API Screen DB Mapping'!A56)</f>
        <v>UC56</v>
      </c>
      <c r="B56" s="40" t="str">
        <f>IFERROR(__xludf.DUMMYFUNCTION("IF('API Screen DB Mapping'!B56="""","""",IFERROR(GOOGLETRANSLATE('API Screen DB Mapping'!B56,""en"",""vi""),'API Screen DB Mapping'!B56))"),"Thiết bị đeo/an toàn Pair SOS")</f>
        <v>Thiết bị đeo/an toàn Pair SOS</v>
      </c>
      <c r="C56" s="40" t="str">
        <f>IFERROR(__xludf.DUMMYFUNCTION("IF('API Screen DB Mapping'!C56="""","""",IFERROR(GOOGLETRANSLATE('API Screen DB Mapping'!C56,""en"",""vi""),'API Screen DB Mapping'!C56))"),"Flutter Mobile")</f>
        <v>Flutter Mobile</v>
      </c>
      <c r="D56" s="40" t="str">
        <f>IF('API Screen DB Mapping'!D56="","",'API Screen DB Mapping'!D56)</f>
        <v>/api/wearables/pairing</v>
      </c>
      <c r="E56" s="40" t="str">
        <f>IF('API Screen DB Mapping'!E56="","",'API Screen DB Mapping'!E56)</f>
        <v>GET/POST/PATCH</v>
      </c>
      <c r="F56" s="40" t="str">
        <f>IF('API Screen DB Mapping'!F56="","",'API Screen DB Mapping'!F56)</f>
        <v>TBD</v>
      </c>
      <c r="G56" s="40" t="str">
        <f>IF('API Screen DB Mapping'!G56="","",'API Screen DB Mapping'!G56)</f>
        <v>TBD</v>
      </c>
      <c r="H56" s="40" t="str">
        <f>IF('API Screen DB Mapping'!H56="","",'API Screen DB Mapping'!H56)</f>
        <v>WearableDevice, SOSSetting, FamilyMember</v>
      </c>
      <c r="I56" s="40" t="str">
        <f>IF('API Screen DB Mapping'!I56="","",'API Screen DB Mapping'!I56)</f>
        <v/>
      </c>
      <c r="J56" s="40" t="str">
        <f>IF('API Screen DB Mapping'!J56="","",'API Screen DB Mapping'!J56)</f>
        <v/>
      </c>
      <c r="K56" s="40" t="str">
        <f>IF('API Screen DB Mapping'!K56="","",SWITCH('API Screen DB Mapping'!K56,"Not Started","Chưa bắt đầu","In Progress","Đang làm","Done","Hoàn thành",'API Screen DB Mapping'!K56))</f>
        <v>Chưa bắt đầu</v>
      </c>
      <c r="L56" s="40" t="str">
        <f>IFERROR(__xludf.DUMMYFUNCTION("IF('API Screen DB Mapping'!L56="""","""",IFERROR(GOOGLETRANSLATE('API Screen DB Mapping'!L56,""en"",""vi""),'API Screen DB Mapping'!L56))"),"Có thể mô phỏng để trình diễn.")</f>
        <v>Có thể mô phỏng để trình diễn.</v>
      </c>
    </row>
    <row r="57">
      <c r="A57" s="42" t="str">
        <f>IF('API Screen DB Mapping'!A57="","",'API Screen DB Mapping'!A57)</f>
        <v>UC57</v>
      </c>
      <c r="B57" s="42" t="str">
        <f>IFERROR(__xludf.DUMMYFUNCTION("IF('API Screen DB Mapping'!B57="""","""",IFERROR(GOOGLETRANSLATE('API Screen DB Mapping'!B57,""en"",""vi""),'API Screen DB Mapping'!B57))"),"Kích hoạt SOS từ thiết bị đeo được")</f>
        <v>Kích hoạt SOS từ thiết bị đeo được</v>
      </c>
      <c r="C57" s="42" t="str">
        <f>IFERROR(__xludf.DUMMYFUNCTION("IF('API Screen DB Mapping'!C57="""","""",IFERROR(GOOGLETRANSLATE('API Screen DB Mapping'!C57,""en"",""vi""),'API Screen DB Mapping'!C57))"),"Flutter Mobile")</f>
        <v>Flutter Mobile</v>
      </c>
      <c r="D57" s="42" t="str">
        <f>IF('API Screen DB Mapping'!D57="","",'API Screen DB Mapping'!D57)</f>
        <v>/api/wearables/sos-trigger</v>
      </c>
      <c r="E57" s="42" t="str">
        <f>IF('API Screen DB Mapping'!E57="","",'API Screen DB Mapping'!E57)</f>
        <v>POST</v>
      </c>
      <c r="F57" s="42" t="str">
        <f>IF('API Screen DB Mapping'!F57="","",'API Screen DB Mapping'!F57)</f>
        <v>TBD</v>
      </c>
      <c r="G57" s="42" t="str">
        <f>IF('API Screen DB Mapping'!G57="","",'API Screen DB Mapping'!G57)</f>
        <v>TBD</v>
      </c>
      <c r="H57" s="42" t="str">
        <f>IF('API Screen DB Mapping'!H57="","",'API Screen DB Mapping'!H57)</f>
        <v>WearableDevice, SOSAlert, LocationHistory, Notification</v>
      </c>
      <c r="I57" s="42" t="str">
        <f>IF('API Screen DB Mapping'!I57="","",'API Screen DB Mapping'!I57)</f>
        <v/>
      </c>
      <c r="J57" s="42" t="str">
        <f>IF('API Screen DB Mapping'!J57="","",'API Screen DB Mapping'!J57)</f>
        <v/>
      </c>
      <c r="K57" s="42" t="str">
        <f>IF('API Screen DB Mapping'!K57="","",SWITCH('API Screen DB Mapping'!K57,"Not Started","Chưa bắt đầu","In Progress","Đang làm","Done","Hoàn thành",'API Screen DB Mapping'!K57))</f>
        <v>Chưa bắt đầu</v>
      </c>
      <c r="L57" s="42" t="str">
        <f>IFERROR(__xludf.DUMMYFUNCTION("IF('API Screen DB Mapping'!L57="""","""",IFERROR(GOOGLETRANSLATE('API Screen DB Mapping'!L57,""en"",""vi""),'API Screen DB Mapping'!L57))"),"Chứng minh rằng tín hiệu SOS có thể được kích hoạt từ thiết bị.")</f>
        <v>Chứng minh rằng tín hiệu SOS có thể được kích hoạt từ thiết bị.</v>
      </c>
    </row>
    <row r="58">
      <c r="A58" s="42" t="str">
        <f>IF('API Screen DB Mapping'!A58="","",'API Screen DB Mapping'!A58)</f>
        <v>UC58</v>
      </c>
      <c r="B58" s="42" t="str">
        <f>IFERROR(__xludf.DUMMYFUNCTION("IF('API Screen DB Mapping'!B58="""","""",IFERROR(GOOGLETRANSLATE('API Screen DB Mapping'!B58,""en"",""vi""),'API Screen DB Mapping'!B58))"),"Nhận cảnh báo phát hiện té ngã / chuyển động bất thường")</f>
        <v>Nhận cảnh báo phát hiện té ngã / chuyển động bất thường</v>
      </c>
      <c r="C58" s="42" t="str">
        <f>IFERROR(__xludf.DUMMYFUNCTION("IF('API Screen DB Mapping'!C58="""","""",IFERROR(GOOGLETRANSLATE('API Screen DB Mapping'!C58,""en"",""vi""),'API Screen DB Mapping'!C58))"),"Flutter Mobile")</f>
        <v>Flutter Mobile</v>
      </c>
      <c r="D58" s="42" t="str">
        <f>IF('API Screen DB Mapping'!D58="","",'API Screen DB Mapping'!D58)</f>
        <v>/api/wearables/fall-alerts</v>
      </c>
      <c r="E58" s="42" t="str">
        <f>IF('API Screen DB Mapping'!E58="","",'API Screen DB Mapping'!E58)</f>
        <v>POST</v>
      </c>
      <c r="F58" s="42" t="str">
        <f>IF('API Screen DB Mapping'!F58="","",'API Screen DB Mapping'!F58)</f>
        <v>TBD</v>
      </c>
      <c r="G58" s="42" t="str">
        <f>IF('API Screen DB Mapping'!G58="","",'API Screen DB Mapping'!G58)</f>
        <v>TBD</v>
      </c>
      <c r="H58" s="42" t="str">
        <f>IF('API Screen DB Mapping'!H58="","",'API Screen DB Mapping'!H58)</f>
        <v>WearableDevice, SOSAlert, SensorEvent, Notification</v>
      </c>
      <c r="I58" s="42" t="str">
        <f>IF('API Screen DB Mapping'!I58="","",'API Screen DB Mapping'!I58)</f>
        <v/>
      </c>
      <c r="J58" s="42" t="str">
        <f>IF('API Screen DB Mapping'!J58="","",'API Screen DB Mapping'!J58)</f>
        <v/>
      </c>
      <c r="K58" s="42" t="str">
        <f>IF('API Screen DB Mapping'!K58="","",SWITCH('API Screen DB Mapping'!K58,"Not Started","Chưa bắt đầu","In Progress","Đang làm","Done","Hoàn thành",'API Screen DB Mapping'!K58))</f>
        <v>Chưa bắt đầu</v>
      </c>
      <c r="L58" s="42" t="str">
        <f>IFERROR(__xludf.DUMMYFUNCTION("IF('API Screen DB Mapping'!L58="""","""",IFERROR(GOOGLETRANSLATE('API Screen DB Mapping'!L58,""en"",""vi""),'API Screen DB Mapping'!L58))"),"Có thể mô phỏng bằng dữ liệu cảm biến thử nghiệm/kích hoạt thủ công.")</f>
        <v>Có thể mô phỏng bằng dữ liệu cảm biến thử nghiệm/kích hoạt thủ công.</v>
      </c>
    </row>
    <row r="59">
      <c r="A59" s="42" t="str">
        <f>IF('API Screen DB Mapping'!A59="","",'API Screen DB Mapping'!A59)</f>
        <v>UC59</v>
      </c>
      <c r="B59" s="42" t="str">
        <f>IFERROR(__xludf.DUMMYFUNCTION("IF('API Screen DB Mapping'!B59="""","""",IFERROR(GOOGLETRANSLATE('API Screen DB Mapping'!B59,""en"",""vi""),'API Screen DB Mapping'!B59))"),"Theo dõi vị trí trực tiếp trong khi đang kích hoạt SOS")</f>
        <v>Theo dõi vị trí trực tiếp trong khi đang kích hoạt SOS</v>
      </c>
      <c r="C59" s="42" t="str">
        <f>IFERROR(__xludf.DUMMYFUNCTION("IF('API Screen DB Mapping'!C59="""","""",IFERROR(GOOGLETRANSLATE('API Screen DB Mapping'!C59,""en"",""vi""),'API Screen DB Mapping'!C59))"),"Flutter Mobile")</f>
        <v>Flutter Mobile</v>
      </c>
      <c r="D59" s="42" t="str">
        <f>IF('API Screen DB Mapping'!D59="","",'API Screen DB Mapping'!D59)</f>
        <v>/api/sos-alerts/{id}/live-location</v>
      </c>
      <c r="E59" s="42" t="str">
        <f>IF('API Screen DB Mapping'!E59="","",'API Screen DB Mapping'!E59)</f>
        <v>GET/POST</v>
      </c>
      <c r="F59" s="42" t="str">
        <f>IF('API Screen DB Mapping'!F59="","",'API Screen DB Mapping'!F59)</f>
        <v>TBD</v>
      </c>
      <c r="G59" s="42" t="str">
        <f>IF('API Screen DB Mapping'!G59="","",'API Screen DB Mapping'!G59)</f>
        <v>TBD</v>
      </c>
      <c r="H59" s="42" t="str">
        <f>IF('API Screen DB Mapping'!H59="","",'API Screen DB Mapping'!H59)</f>
        <v>SOSAlert, LocationHistory</v>
      </c>
      <c r="I59" s="42" t="str">
        <f>IF('API Screen DB Mapping'!I59="","",'API Screen DB Mapping'!I59)</f>
        <v/>
      </c>
      <c r="J59" s="42" t="str">
        <f>IF('API Screen DB Mapping'!J59="","",'API Screen DB Mapping'!J59)</f>
        <v/>
      </c>
      <c r="K59" s="42" t="str">
        <f>IF('API Screen DB Mapping'!K59="","",SWITCH('API Screen DB Mapping'!K59,"Not Started","Chưa bắt đầu","In Progress","Đang làm","Done","Hoàn thành",'API Screen DB Mapping'!K59))</f>
        <v>Chưa bắt đầu</v>
      </c>
      <c r="L59" s="42" t="str">
        <f>IFERROR(__xludf.DUMMYFUNCTION("IF('API Screen DB Mapping'!L59="""","""",IFERROR(GOOGLETRANSLATE('API Screen DB Mapping'!L59,""en"",""vi""),'API Screen DB Mapping'!L59))"),"Chỉ có tính năng cơ bản; GPS liên tục tiên tiến là xu hướng tương lai.")</f>
        <v>Chỉ có tính năng cơ bản; GPS liên tục tiên tiến là xu hướng tương lai.</v>
      </c>
    </row>
    <row r="60">
      <c r="A60" s="42" t="str">
        <f>IF('API Screen DB Mapping'!A60="","",'API Screen DB Mapping'!A60)</f>
        <v>UC60</v>
      </c>
      <c r="B60" s="42" t="str">
        <f>IFERROR(__xludf.DUMMYFUNCTION("IF('API Screen DB Mapping'!B60="""","""",IFERROR(GOOGLETRANSLATE('API Screen DB Mapping'!B60,""en"",""vi""),'API Screen DB Mapping'!B60))"),"Nhận thông báo cho gia đình")</f>
        <v>Nhận thông báo cho gia đình</v>
      </c>
      <c r="C60" s="42" t="str">
        <f>IFERROR(__xludf.DUMMYFUNCTION("IF('API Screen DB Mapping'!C60="""","""",IFERROR(GOOGLETRANSLATE('API Screen DB Mapping'!C60,""en"",""vi""),'API Screen DB Mapping'!C60))"),"Flutter Mobile")</f>
        <v>Flutter Mobile</v>
      </c>
      <c r="D60" s="42" t="str">
        <f>IF('API Screen DB Mapping'!D60="","",'API Screen DB Mapping'!D60)</f>
        <v>/api/notifications</v>
      </c>
      <c r="E60" s="42" t="str">
        <f>IF('API Screen DB Mapping'!E60="","",'API Screen DB Mapping'!E60)</f>
        <v>GET/PATCH</v>
      </c>
      <c r="F60" s="42" t="str">
        <f>IF('API Screen DB Mapping'!F60="","",'API Screen DB Mapping'!F60)</f>
        <v>TBD</v>
      </c>
      <c r="G60" s="42" t="str">
        <f>IF('API Screen DB Mapping'!G60="","",'API Screen DB Mapping'!G60)</f>
        <v>TBD</v>
      </c>
      <c r="H60" s="42" t="str">
        <f>IF('API Screen DB Mapping'!H60="","",'API Screen DB Mapping'!H60)</f>
        <v>Notification, FamilyMember</v>
      </c>
      <c r="I60" s="42" t="str">
        <f>IF('API Screen DB Mapping'!I60="","",'API Screen DB Mapping'!I60)</f>
        <v/>
      </c>
      <c r="J60" s="42" t="str">
        <f>IF('API Screen DB Mapping'!J60="","",'API Screen DB Mapping'!J60)</f>
        <v/>
      </c>
      <c r="K60" s="42" t="str">
        <f>IF('API Screen DB Mapping'!K60="","",SWITCH('API Screen DB Mapping'!K60,"Not Started","Chưa bắt đầu","In Progress","Đang làm","Done","Hoàn thành",'API Screen DB Mapping'!K60))</f>
        <v>Chưa bắt đầu</v>
      </c>
      <c r="L60" s="42" t="str">
        <f>IFERROR(__xludf.DUMMYFUNCTION("IF('API Screen DB Mapping'!L60="""","""",IFERROR(GOOGLETRANSLATE('API Screen DB Mapping'!L60,""en"",""vi""),'API Screen DB Mapping'!L60))"),"Bao gồm nhiệm vụ, quyết toán phần thưởng, yêu cầu hỗ trợ chi tiêu, thông báo và tín hiệu khẩn cấp (SOS).")</f>
        <v>Bao gồm nhiệm vụ, quyết toán phần thưởng, yêu cầu hỗ trợ chi tiêu, thông báo và tín hiệu khẩn cấp (SOS).</v>
      </c>
    </row>
    <row r="61">
      <c r="A61" s="42" t="str">
        <f>IF('API Screen DB Mapping'!A64="","",'API Screen DB Mapping'!A64)</f>
        <v>UC64</v>
      </c>
      <c r="B61" s="42" t="str">
        <f>IFERROR(__xludf.DUMMYFUNCTION("IF('API Screen DB Mapping'!B64="""","""",IFERROR(GOOGLETRANSLATE('API Screen DB Mapping'!B64,""en"",""vi""),'API Screen DB Mapping'!B64))"),"Sử dụng hệ thống liên lạc an toàn nhanh chóng")</f>
        <v>Sử dụng hệ thống liên lạc an toàn nhanh chóng</v>
      </c>
      <c r="C61" s="42" t="str">
        <f>IFERROR(__xludf.DUMMYFUNCTION("IF('API Screen DB Mapping'!C64="""","""",IFERROR(GOOGLETRANSLATE('API Screen DB Mapping'!C64,""en"",""vi""),'API Screen DB Mapping'!C64))"),"Flutter Mobile")</f>
        <v>Flutter Mobile</v>
      </c>
      <c r="D61" s="42" t="str">
        <f>IF('API Screen DB Mapping'!D64="","",'API Screen DB Mapping'!D64)</f>
        <v>/api/sos-alerts/quick-actions</v>
      </c>
      <c r="E61" s="42" t="str">
        <f>IF('API Screen DB Mapping'!E64="","",'API Screen DB Mapping'!E64)</f>
        <v>POST</v>
      </c>
      <c r="F61" s="42" t="str">
        <f>IF('API Screen DB Mapping'!F64="","",'API Screen DB Mapping'!F64)</f>
        <v>TBD</v>
      </c>
      <c r="G61" s="42" t="str">
        <f>IF('API Screen DB Mapping'!G64="","",'API Screen DB Mapping'!G64)</f>
        <v>TBD</v>
      </c>
      <c r="H61" s="42" t="str">
        <f>IF('API Screen DB Mapping'!H64="","",'API Screen DB Mapping'!H64)</f>
        <v>SOSAlert, SOSResponse, Message</v>
      </c>
      <c r="I61" s="42" t="str">
        <f>IF('API Screen DB Mapping'!I64="","",'API Screen DB Mapping'!I64)</f>
        <v/>
      </c>
      <c r="J61" s="42" t="str">
        <f>IF('API Screen DB Mapping'!J64="","",'API Screen DB Mapping'!J64)</f>
        <v/>
      </c>
      <c r="K61" s="42" t="str">
        <f>IF('API Screen DB Mapping'!K64="","",SWITCH('API Screen DB Mapping'!K64,"Not Started","Chưa bắt đầu","In Progress","Đang làm","Done","Hoàn thành",'API Screen DB Mapping'!K64))</f>
        <v>Chưa bắt đầu</v>
      </c>
      <c r="L61" s="42" t="str">
        <f>IFERROR(__xludf.DUMMYFUNCTION("IF('API Screen DB Mapping'!L64="""","""",IFERROR(GOOGLETRANSLATE('API Screen DB Mapping'!L64,""en"",""vi""),'API Screen DB Mapping'!L64))"),"Giữ nguyên nút nhắn tin/gọi hỗ trợ nhanh; không có chức năng tích hợp cứu hộ/gọi điện thực sự.")</f>
        <v>Giữ nguyên nút nhắn tin/gọi hỗ trợ nhanh; không có chức năng tích hợp cứu hộ/gọi điện thực sự.</v>
      </c>
    </row>
    <row r="62">
      <c r="A62" s="42" t="str">
        <f>IF('API Screen DB Mapping'!A65="","",'API Screen DB Mapping'!A65)</f>
        <v>UC65</v>
      </c>
      <c r="B62" s="42" t="str">
        <f>IFERROR(__xludf.DUMMYFUNCTION("IF('API Screen DB Mapping'!B65="""","""",IFERROR(GOOGLETRANSLATE('API Screen DB Mapping'!B65,""en"",""vi""),'API Screen DB Mapping'!B65))"),"Hỏi trợ lý AI")</f>
        <v>Hỏi trợ lý AI</v>
      </c>
      <c r="C62" s="42" t="str">
        <f>IFERROR(__xludf.DUMMYFUNCTION("IF('API Screen DB Mapping'!C65="""","""",IFERROR(GOOGLETRANSLATE('API Screen DB Mapping'!C65,""en"",""vi""),'API Screen DB Mapping'!C65))"),"Flutter Mobile")</f>
        <v>Flutter Mobile</v>
      </c>
      <c r="D62" s="42" t="str">
        <f>IF('API Screen DB Mapping'!D65="","",'API Screen DB Mapping'!D65)</f>
        <v>/api/ai-assistant/chat</v>
      </c>
      <c r="E62" s="42" t="str">
        <f>IF('API Screen DB Mapping'!E65="","",'API Screen DB Mapping'!E65)</f>
        <v>POST</v>
      </c>
      <c r="F62" s="42" t="str">
        <f>IF('API Screen DB Mapping'!F65="","",'API Screen DB Mapping'!F65)</f>
        <v>AskAIRequestDto</v>
      </c>
      <c r="G62" s="42" t="str">
        <f>IF('API Screen DB Mapping'!G65="","",'API Screen DB Mapping'!G65)</f>
        <v>AIAnswerResponseDto</v>
      </c>
      <c r="H62" s="42" t="str">
        <f>IF('API Screen DB Mapping'!H65="","",'API Screen DB Mapping'!H65)</f>
        <v>AIConversation, AIMessage, User, FamilyMember, FamilyWorkspace</v>
      </c>
      <c r="I62" s="42" t="str">
        <f>IF('API Screen DB Mapping'!I65="","",'API Screen DB Mapping'!I65)</f>
        <v/>
      </c>
      <c r="J62" s="42" t="str">
        <f>IF('API Screen DB Mapping'!J65="","",'API Screen DB Mapping'!J65)</f>
        <v/>
      </c>
      <c r="K62" s="42" t="str">
        <f>IF('API Screen DB Mapping'!K65="","",SWITCH('API Screen DB Mapping'!K65,"Not Started","Chưa bắt đầu","In Progress","Đang làm","Done","Hoàn thành",'API Screen DB Mapping'!K65))</f>
        <v>Chưa bắt đầu</v>
      </c>
      <c r="L62" s="42" t="str">
        <f>IFERROR(__xludf.DUMMYFUNCTION("IF('API Screen DB Mapping'!L65="""","""",IFERROR(GOOGLETRANSLATE('API Screen DB Mapping'!L65,""en"",""vi""),'API Screen DB Mapping'!L65))"),"Hỏi đáp cơ bản bằng AI dựa trên dữ liệu gia đình được ủy quyền.")</f>
        <v>Hỏi đáp cơ bản bằng AI dựa trên dữ liệu gia đình được ủy quyền.</v>
      </c>
    </row>
    <row r="63">
      <c r="A63" s="42" t="str">
        <f>IF('API Screen DB Mapping'!A66="","",'API Screen DB Mapping'!A66)</f>
        <v>UC66</v>
      </c>
      <c r="B63" s="42" t="str">
        <f>IFERROR(__xludf.DUMMYFUNCTION("IF('API Screen DB Mapping'!B66="""","""",IFERROR(GOOGLETRANSLATE('API Screen DB Mapping'!B66,""en"",""vi""),'API Screen DB Mapping'!B66))"),"Xem tóm tắt về Tài chính AI")</f>
        <v>Xem tóm tắt về Tài chính AI</v>
      </c>
      <c r="C63" s="42" t="str">
        <f>IFERROR(__xludf.DUMMYFUNCTION("IF('API Screen DB Mapping'!C66="""","""",IFERROR(GOOGLETRANSLATE('API Screen DB Mapping'!C66,""en"",""vi""),'API Screen DB Mapping'!C66))"),"Flutter Mobile")</f>
        <v>Flutter Mobile</v>
      </c>
      <c r="D63" s="42" t="str">
        <f>IF('API Screen DB Mapping'!D66="","",'API Screen DB Mapping'!D66)</f>
        <v>/api/ai-assistant/finance-summary</v>
      </c>
      <c r="E63" s="42" t="str">
        <f>IF('API Screen DB Mapping'!E66="","",'API Screen DB Mapping'!E66)</f>
        <v>GET/POST</v>
      </c>
      <c r="F63" s="42" t="str">
        <f>IF('API Screen DB Mapping'!F66="","",'API Screen DB Mapping'!F66)</f>
        <v>AIFinanceSummaryRequestDto</v>
      </c>
      <c r="G63" s="42" t="str">
        <f>IF('API Screen DB Mapping'!G66="","",'API Screen DB Mapping'!G66)</f>
        <v>AIFinanceSummaryResponseDto</v>
      </c>
      <c r="H63" s="42" t="str">
        <f>IF('API Screen DB Mapping'!H66="","",'API Screen DB Mapping'!H66)</f>
        <v>Budget, FamilyFundLedger, LedgerEntry, SpendingSupportRequest, MemberFinancialProfile</v>
      </c>
      <c r="I63" s="42" t="str">
        <f>IF('API Screen DB Mapping'!I66="","",'API Screen DB Mapping'!I66)</f>
        <v/>
      </c>
      <c r="J63" s="42" t="str">
        <f>IF('API Screen DB Mapping'!J66="","",'API Screen DB Mapping'!J66)</f>
        <v>Nghĩa</v>
      </c>
      <c r="K63" s="42" t="str">
        <f>IF('API Screen DB Mapping'!K66="","",SWITCH('API Screen DB Mapping'!K66,"Not Started","Chưa bắt đầu","In Progress","Đang làm","Done","Hoàn thành",'API Screen DB Mapping'!K66))</f>
        <v>Chưa bắt đầu</v>
      </c>
      <c r="L63" s="42" t="str">
        <f>IFERROR(__xludf.DUMMYFUNCTION("IF('API Screen DB Mapping'!L66="""","""",IFERROR(GOOGLETRANSLATE('API Screen DB Mapping'!L66,""en"",""vi""),'API Screen DB Mapping'!L66))"),"Cần kiểm tra quyền phê duyệt tài chính trước khi tạo bản tóm tắt.")</f>
        <v>Cần kiểm tra quyền phê duyệt tài chính trước khi tạo bản tóm tắt.</v>
      </c>
    </row>
    <row r="64">
      <c r="A64" s="42" t="str">
        <f>IF('API Screen DB Mapping'!A67="","",'API Screen DB Mapping'!A67)</f>
        <v>UC67</v>
      </c>
      <c r="B64" s="42" t="str">
        <f>IFERROR(__xludf.DUMMYFUNCTION("IF('API Screen DB Mapping'!B67="""","""",IFERROR(GOOGLETRANSLATE('API Screen DB Mapping'!B67,""en"",""vi""),'API Screen DB Mapping'!B67))"),"Xem tóm tắt nhiệm vụ AI")</f>
        <v>Xem tóm tắt nhiệm vụ AI</v>
      </c>
      <c r="C64" s="42" t="str">
        <f>IFERROR(__xludf.DUMMYFUNCTION("IF('API Screen DB Mapping'!C67="""","""",IFERROR(GOOGLETRANSLATE('API Screen DB Mapping'!C67,""en"",""vi""),'API Screen DB Mapping'!C67))"),"Flutter Mobile")</f>
        <v>Flutter Mobile</v>
      </c>
      <c r="D64" s="42" t="str">
        <f>IF('API Screen DB Mapping'!D67="","",'API Screen DB Mapping'!D67)</f>
        <v>/api/ai-assistant/task-summary</v>
      </c>
      <c r="E64" s="42" t="str">
        <f>IF('API Screen DB Mapping'!E67="","",'API Screen DB Mapping'!E67)</f>
        <v>GET/POST</v>
      </c>
      <c r="F64" s="42" t="str">
        <f>IF('API Screen DB Mapping'!F67="","",'API Screen DB Mapping'!F67)</f>
        <v>AITaskSummaryRequestDto</v>
      </c>
      <c r="G64" s="42" t="str">
        <f>IF('API Screen DB Mapping'!G67="","",'API Screen DB Mapping'!G67)</f>
        <v>AITaskSummaryResponseDto</v>
      </c>
      <c r="H64" s="42" t="str">
        <f>IF('API Screen DB Mapping'!H67="","",'API Screen DB Mapping'!H67)</f>
        <v>Task, TaskAssignment, TaskCompletion, RewardSettlement, FamilyMember</v>
      </c>
      <c r="I64" s="42" t="str">
        <f>IF('API Screen DB Mapping'!I67="","",'API Screen DB Mapping'!I67)</f>
        <v/>
      </c>
      <c r="J64" s="42" t="str">
        <f>IF('API Screen DB Mapping'!J67="","",'API Screen DB Mapping'!J67)</f>
        <v/>
      </c>
      <c r="K64" s="42" t="str">
        <f>IF('API Screen DB Mapping'!K67="","",SWITCH('API Screen DB Mapping'!K67,"Not Started","Chưa bắt đầu","In Progress","Đang làm","Done","Hoàn thành",'API Screen DB Mapping'!K67))</f>
        <v>Chưa bắt đầu</v>
      </c>
      <c r="L64" s="42" t="str">
        <f>IFERROR(__xludf.DUMMYFUNCTION("IF('API Screen DB Mapping'!L67="""","""",IFERROR(GOOGLETRANSLATE('API Screen DB Mapping'!L67,""en"",""vi""),'API Screen DB Mapping'!L67))"),"Trí tuệ nhân tạo chỉ tóm tắt trạng thái thanh toán nhiệm vụ/phần thưởng.")</f>
        <v>Trí tuệ nhân tạo chỉ tóm tắt trạng thái thanh toán nhiệm vụ/phần thưởng.</v>
      </c>
    </row>
    <row r="65">
      <c r="A65" s="42" t="str">
        <f>IF('API Screen DB Mapping'!A68="","",'API Screen DB Mapping'!A68)</f>
        <v>UC68</v>
      </c>
      <c r="B65" s="42" t="str">
        <f>IFERROR(__xludf.DUMMYFUNCTION("IF('API Screen DB Mapping'!B68="""","""",IFERROR(GOOGLETRANSLATE('API Screen DB Mapping'!B68,""en"",""vi""),'API Screen DB Mapping'!B68))"),"Nhận các đề xuất về ngân sách và tiết kiệm dựa trên trí tuệ nhân tạo")</f>
        <v>Nhận các đề xuất về ngân sách và tiết kiệm dựa trên trí tuệ nhân tạo</v>
      </c>
      <c r="C65" s="42" t="str">
        <f>IFERROR(__xludf.DUMMYFUNCTION("IF('API Screen DB Mapping'!C68="""","""",IFERROR(GOOGLETRANSLATE('API Screen DB Mapping'!C68,""en"",""vi""),'API Screen DB Mapping'!C68))"),"Flutter Mobile")</f>
        <v>Flutter Mobile</v>
      </c>
      <c r="D65" s="42" t="str">
        <f>IF('API Screen DB Mapping'!D68="","",'API Screen DB Mapping'!D68)</f>
        <v>/api/ai-assistant/saving-suggestions</v>
      </c>
      <c r="E65" s="42" t="str">
        <f>IF('API Screen DB Mapping'!E68="","",'API Screen DB Mapping'!E68)</f>
        <v>GET/POST</v>
      </c>
      <c r="F65" s="42" t="str">
        <f>IF('API Screen DB Mapping'!F68="","",'API Screen DB Mapping'!F68)</f>
        <v>AISavingSuggestionRequestDto</v>
      </c>
      <c r="G65" s="42" t="str">
        <f>IF('API Screen DB Mapping'!G68="","",'API Screen DB Mapping'!G68)</f>
        <v>AISavingSuggestionResponseDto</v>
      </c>
      <c r="H65" s="42" t="str">
        <f>IF('API Screen DB Mapping'!H68="","",'API Screen DB Mapping'!H68)</f>
        <v>Budget, ExpenseCategory, LedgerEntry, FamilyFundLedger</v>
      </c>
      <c r="I65" s="42" t="str">
        <f>IF('API Screen DB Mapping'!I68="","",'API Screen DB Mapping'!I68)</f>
        <v/>
      </c>
      <c r="J65" s="42" t="str">
        <f>IF('API Screen DB Mapping'!J68="","",'API Screen DB Mapping'!J68)</f>
        <v>Nghĩa</v>
      </c>
      <c r="K65" s="42" t="str">
        <f>IF('API Screen DB Mapping'!K68="","",SWITCH('API Screen DB Mapping'!K68,"Not Started","Chưa bắt đầu","In Progress","Đang làm","Done","Hoàn thành",'API Screen DB Mapping'!K68))</f>
        <v>Chưa bắt đầu</v>
      </c>
      <c r="L65" s="42" t="str">
        <f>IFERROR(__xludf.DUMMYFUNCTION("IF('API Screen DB Mapping'!L68="""","""",IFERROR(GOOGLETRANSLATE('API Screen DB Mapping'!L68,""en"",""vi""),'API Screen DB Mapping'!L68))"),"Chỉ mang tính chất tư vấn; AI không tự động thay đổi dữ liệu.")</f>
        <v>Chỉ mang tính chất tư vấn; AI không tự động thay đổi dữ liệu.</v>
      </c>
    </row>
    <row r="66">
      <c r="A66" s="42" t="str">
        <f>IF('API Screen DB Mapping'!A69="","",'API Screen DB Mapping'!A69)</f>
        <v>UC69</v>
      </c>
      <c r="B66" s="42" t="str">
        <f>IFERROR(__xludf.DUMMYFUNCTION("IF('API Screen DB Mapping'!B69="""","""",IFERROR(GOOGLETRANSLATE('API Screen DB Mapping'!B69,""en"",""vi""),'API Screen DB Mapping'!B69))"),"Yêu cầu đặt lại mật khẩu")</f>
        <v>Yêu cầu đặt lại mật khẩu</v>
      </c>
      <c r="C66" s="42" t="str">
        <f>IFERROR(__xludf.DUMMYFUNCTION("IF('API Screen DB Mapping'!C69="""","""",IFERROR(GOOGLETRANSLATE('API Screen DB Mapping'!C69,""en"",""vi""),'API Screen DB Mapping'!C69))"),"Flutter Mobile")</f>
        <v>Flutter Mobile</v>
      </c>
      <c r="D66" s="42" t="str">
        <f>IF('API Screen DB Mapping'!D69="","",'API Screen DB Mapping'!D69)</f>
        <v>/api/auth/forgot-password</v>
      </c>
      <c r="E66" s="42" t="str">
        <f>IF('API Screen DB Mapping'!E69="","",'API Screen DB Mapping'!E69)</f>
        <v>POST</v>
      </c>
      <c r="F66" s="42" t="str">
        <f>IF('API Screen DB Mapping'!F69="","",'API Screen DB Mapping'!F69)</f>
        <v>ForgotPasswordDto</v>
      </c>
      <c r="G66" s="42" t="str">
        <f>IF('API Screen DB Mapping'!G69="","",'API Screen DB Mapping'!G69)</f>
        <v>ForgotPasswordResponseDto</v>
      </c>
      <c r="H66" s="42" t="str">
        <f>IF('API Screen DB Mapping'!H69="","",'API Screen DB Mapping'!H69)</f>
        <v>User, PasswordResetToken</v>
      </c>
      <c r="I66" s="42" t="str">
        <f>IF('API Screen DB Mapping'!I69="","",'API Screen DB Mapping'!I69)</f>
        <v/>
      </c>
      <c r="J66" s="42" t="str">
        <f>IF('API Screen DB Mapping'!J69="","",'API Screen DB Mapping'!J69)</f>
        <v/>
      </c>
      <c r="K66" s="42" t="str">
        <f>IF('API Screen DB Mapping'!K69="","",SWITCH('API Screen DB Mapping'!K69,"Not Started","Chưa bắt đầu","In Progress","Đang làm","Done","Hoàn thành",'API Screen DB Mapping'!K69))</f>
        <v>Chưa bắt đầu</v>
      </c>
      <c r="L66" s="42" t="str">
        <f>IFERROR(__xludf.DUMMYFUNCTION("IF('API Screen DB Mapping'!L69="""","""",IFERROR(GOOGLETRANSLATE('API Screen DB Mapping'!L69,""en"",""vi""),'API Screen DB Mapping'!L69))"),"Quy trình khôi phục mật khẩu.")</f>
        <v>Quy trình khôi phục mật khẩu.</v>
      </c>
    </row>
    <row r="67">
      <c r="A67" s="42" t="str">
        <f>IF('API Screen DB Mapping'!A70="","",'API Screen DB Mapping'!A70)</f>
        <v>UC70</v>
      </c>
      <c r="B67" s="42" t="str">
        <f>IFERROR(__xludf.DUMMYFUNCTION("IF('API Screen DB Mapping'!B70="""","""",IFERROR(GOOGLETRANSLATE('API Screen DB Mapping'!B70,""en"",""vi""),'API Screen DB Mapping'!B70))"),"Tạo sự kiện lịch gia đình")</f>
        <v>Tạo sự kiện lịch gia đình</v>
      </c>
      <c r="C67" s="42" t="str">
        <f>IFERROR(__xludf.DUMMYFUNCTION("IF('API Screen DB Mapping'!C70="""","""",IFERROR(GOOGLETRANSLATE('API Screen DB Mapping'!C70,""en"",""vi""),'API Screen DB Mapping'!C70))"),"Flutter Mobile")</f>
        <v>Flutter Mobile</v>
      </c>
      <c r="D67" s="42" t="str">
        <f>IF('API Screen DB Mapping'!D70="","",'API Screen DB Mapping'!D70)</f>
        <v>/api/calendar/events</v>
      </c>
      <c r="E67" s="42" t="str">
        <f>IF('API Screen DB Mapping'!E70="","",'API Screen DB Mapping'!E70)</f>
        <v>POST</v>
      </c>
      <c r="F67" s="42" t="str">
        <f>IF('API Screen DB Mapping'!F70="","",'API Screen DB Mapping'!F70)</f>
        <v>CreateEventDto</v>
      </c>
      <c r="G67" s="42" t="str">
        <f>IF('API Screen DB Mapping'!G70="","",'API Screen DB Mapping'!G70)</f>
        <v>EventResponseDto</v>
      </c>
      <c r="H67" s="42" t="str">
        <f>IF('API Screen DB Mapping'!H70="","",'API Screen DB Mapping'!H70)</f>
        <v>FamilyCalendarEvent</v>
      </c>
      <c r="I67" s="42" t="str">
        <f>IF('API Screen DB Mapping'!I70="","",'API Screen DB Mapping'!I70)</f>
        <v/>
      </c>
      <c r="J67" s="42" t="str">
        <f>IF('API Screen DB Mapping'!J70="","",'API Screen DB Mapping'!J70)</f>
        <v/>
      </c>
      <c r="K67" s="42" t="str">
        <f>IF('API Screen DB Mapping'!K70="","",SWITCH('API Screen DB Mapping'!K70,"Not Started","Chưa bắt đầu","In Progress","Đang làm","Done","Hoàn thành",'API Screen DB Mapping'!K70))</f>
        <v>Chưa bắt đầu</v>
      </c>
      <c r="L67" s="42" t="str">
        <f>IFERROR(__xludf.DUMMYFUNCTION("IF('API Screen DB Mapping'!L70="""","""",IFERROR(GOOGLETRANSLATE('API Screen DB Mapping'!L70,""en"",""vi""),'API Screen DB Mapping'!L70))"),"Quản lý hoặc Phó quản lý gia đình tạo sự kiện chung.")</f>
        <v>Quản lý hoặc Phó quản lý gia đình tạo sự kiện chung.</v>
      </c>
    </row>
    <row r="68">
      <c r="A68" s="42" t="str">
        <f>IF('API Screen DB Mapping'!A71="","",'API Screen DB Mapping'!A71)</f>
        <v>UC71</v>
      </c>
      <c r="B68" s="42" t="str">
        <f>IFERROR(__xludf.DUMMYFUNCTION("IF('API Screen DB Mapping'!B71="""","""",IFERROR(GOOGLETRANSLATE('API Screen DB Mapping'!B71,""en"",""vi""),'API Screen DB Mapping'!B71))"),"Xem các sự kiện trong lịch gia đình")</f>
        <v>Xem các sự kiện trong lịch gia đình</v>
      </c>
      <c r="C68" s="42" t="str">
        <f>IFERROR(__xludf.DUMMYFUNCTION("IF('API Screen DB Mapping'!C71="""","""",IFERROR(GOOGLETRANSLATE('API Screen DB Mapping'!C71,""en"",""vi""),'API Screen DB Mapping'!C71))"),"Flutter Mobile")</f>
        <v>Flutter Mobile</v>
      </c>
      <c r="D68" s="42" t="str">
        <f>IF('API Screen DB Mapping'!D71="","",'API Screen DB Mapping'!D71)</f>
        <v>/api/calendar/events</v>
      </c>
      <c r="E68" s="42" t="str">
        <f>IF('API Screen DB Mapping'!E71="","",'API Screen DB Mapping'!E71)</f>
        <v>GET</v>
      </c>
      <c r="F68" s="42" t="str">
        <f>IF('API Screen DB Mapping'!F71="","",'API Screen DB Mapping'!F71)</f>
        <v/>
      </c>
      <c r="G68" s="42" t="str">
        <f>IF('API Screen DB Mapping'!G71="","",'API Screen DB Mapping'!G71)</f>
        <v>List&lt;EventResponseDto&gt;</v>
      </c>
      <c r="H68" s="42" t="str">
        <f>IF('API Screen DB Mapping'!H71="","",'API Screen DB Mapping'!H71)</f>
        <v>FamilyCalendarEvent</v>
      </c>
      <c r="I68" s="42" t="str">
        <f>IF('API Screen DB Mapping'!I71="","",'API Screen DB Mapping'!I71)</f>
        <v/>
      </c>
      <c r="J68" s="42" t="str">
        <f>IF('API Screen DB Mapping'!J71="","",'API Screen DB Mapping'!J71)</f>
        <v/>
      </c>
      <c r="K68" s="42" t="str">
        <f>IF('API Screen DB Mapping'!K71="","",SWITCH('API Screen DB Mapping'!K71,"Not Started","Chưa bắt đầu","In Progress","Đang làm","Done","Hoàn thành",'API Screen DB Mapping'!K71))</f>
        <v>Chưa bắt đầu</v>
      </c>
      <c r="L68" s="42" t="str">
        <f>IFERROR(__xludf.DUMMYFUNCTION("IF('API Screen DB Mapping'!L71="""","""",IFERROR(GOOGLETRANSLATE('API Screen DB Mapping'!L71,""en"",""vi""),'API Screen DB Mapping'!L71))"),"Tất cả các thành viên trong gia đình đều xem lịch chung.")</f>
        <v>Tất cả các thành viên trong gia đình đều xem lịch chung.</v>
      </c>
    </row>
    <row r="69">
      <c r="A69" s="42" t="str">
        <f>IF('API Screen DB Mapping'!A72="","",'API Screen DB Mapping'!A72)</f>
        <v>UC72</v>
      </c>
      <c r="B69" s="42" t="str">
        <f>IFERROR(__xludf.DUMMYFUNCTION("IF('API Screen DB Mapping'!B72="""","""",IFERROR(GOOGLETRANSLATE('API Screen DB Mapping'!B72,""en"",""vi""),'API Screen DB Mapping'!B72))"),"Tải phương tiện lên Album gia đình dùng chung")</f>
        <v>Tải phương tiện lên Album gia đình dùng chung</v>
      </c>
      <c r="C69" s="42" t="str">
        <f>IFERROR(__xludf.DUMMYFUNCTION("IF('API Screen DB Mapping'!C72="""","""",IFERROR(GOOGLETRANSLATE('API Screen DB Mapping'!C72,""en"",""vi""),'API Screen DB Mapping'!C72))"),"Flutter Mobile")</f>
        <v>Flutter Mobile</v>
      </c>
      <c r="D69" s="42" t="str">
        <f>IF('API Screen DB Mapping'!D72="","",'API Screen DB Mapping'!D72)</f>
        <v>/api/album/media</v>
      </c>
      <c r="E69" s="42" t="str">
        <f>IF('API Screen DB Mapping'!E72="","",'API Screen DB Mapping'!E72)</f>
        <v>POST</v>
      </c>
      <c r="F69" s="42" t="str">
        <f>IF('API Screen DB Mapping'!F72="","",'API Screen DB Mapping'!F72)</f>
        <v>UploadMediaDto</v>
      </c>
      <c r="G69" s="42" t="str">
        <f>IF('API Screen DB Mapping'!G72="","",'API Screen DB Mapping'!G72)</f>
        <v>MediaResponseDto</v>
      </c>
      <c r="H69" s="42" t="str">
        <f>IF('API Screen DB Mapping'!H72="","",'API Screen DB Mapping'!H72)</f>
        <v>FamilyAlbumMedia</v>
      </c>
      <c r="I69" s="42" t="str">
        <f>IF('API Screen DB Mapping'!I72="","",'API Screen DB Mapping'!I72)</f>
        <v/>
      </c>
      <c r="J69" s="42" t="str">
        <f>IF('API Screen DB Mapping'!J72="","",'API Screen DB Mapping'!J72)</f>
        <v/>
      </c>
      <c r="K69" s="42" t="str">
        <f>IF('API Screen DB Mapping'!K72="","",SWITCH('API Screen DB Mapping'!K72,"Not Started","Chưa bắt đầu","In Progress","Đang làm","Done","Hoàn thành",'API Screen DB Mapping'!K72))</f>
        <v>Chưa bắt đầu</v>
      </c>
      <c r="L69" s="42" t="str">
        <f>IFERROR(__xludf.DUMMYFUNCTION("IF('API Screen DB Mapping'!L72="""","""",IFERROR(GOOGLETRANSLATE('API Screen DB Mapping'!L72,""en"",""vi""),'API Screen DB Mapping'!L72))"),"Chức năng tải lên/xem cơ bản vẫn được hỗ trợ.")</f>
        <v>Chức năng tải lên/xem cơ bản vẫn được hỗ trợ.</v>
      </c>
    </row>
    <row r="70">
      <c r="A70" s="42" t="str">
        <f>IF('API Screen DB Mapping'!A73="","",'API Screen DB Mapping'!A73)</f>
        <v>UC73</v>
      </c>
      <c r="B70" s="42" t="str">
        <f>IFERROR(__xludf.DUMMYFUNCTION("IF('API Screen DB Mapping'!B73="""","""",IFERROR(GOOGLETRANSLATE('API Screen DB Mapping'!B73,""en"",""vi""),'API Screen DB Mapping'!B73))"),"Xem Album ảnh gia đình được chia sẻ")</f>
        <v>Xem Album ảnh gia đình được chia sẻ</v>
      </c>
      <c r="C70" s="42" t="str">
        <f>IFERROR(__xludf.DUMMYFUNCTION("IF('API Screen DB Mapping'!C73="""","""",IFERROR(GOOGLETRANSLATE('API Screen DB Mapping'!C73,""en"",""vi""),'API Screen DB Mapping'!C73))"),"Flutter Mobile")</f>
        <v>Flutter Mobile</v>
      </c>
      <c r="D70" s="42" t="str">
        <f>IF('API Screen DB Mapping'!D73="","",'API Screen DB Mapping'!D73)</f>
        <v>/api/album/media</v>
      </c>
      <c r="E70" s="42" t="str">
        <f>IF('API Screen DB Mapping'!E73="","",'API Screen DB Mapping'!E73)</f>
        <v>GET</v>
      </c>
      <c r="F70" s="42" t="str">
        <f>IF('API Screen DB Mapping'!F73="","",'API Screen DB Mapping'!F73)</f>
        <v/>
      </c>
      <c r="G70" s="42" t="str">
        <f>IF('API Screen DB Mapping'!G73="","",'API Screen DB Mapping'!G73)</f>
        <v>List&lt;MediaResponseDto&gt;</v>
      </c>
      <c r="H70" s="42" t="str">
        <f>IF('API Screen DB Mapping'!H73="","",'API Screen DB Mapping'!H73)</f>
        <v>FamilyAlbumMedia</v>
      </c>
      <c r="I70" s="42" t="str">
        <f>IF('API Screen DB Mapping'!I73="","",'API Screen DB Mapping'!I73)</f>
        <v/>
      </c>
      <c r="J70" s="42" t="str">
        <f>IF('API Screen DB Mapping'!J73="","",'API Screen DB Mapping'!J73)</f>
        <v/>
      </c>
      <c r="K70" s="42" t="str">
        <f>IF('API Screen DB Mapping'!K73="","",SWITCH('API Screen DB Mapping'!K73,"Not Started","Chưa bắt đầu","In Progress","Đang làm","Done","Hoàn thành",'API Screen DB Mapping'!K73))</f>
        <v>Chưa bắt đầu</v>
      </c>
      <c r="L70" s="42" t="str">
        <f>IFERROR(__xludf.DUMMYFUNCTION("IF('API Screen DB Mapping'!L73="""","""",IFERROR(GOOGLETRANSLATE('API Screen DB Mapping'!L73,""en"",""vi""),'API Screen DB Mapping'!L73))"),"Chế độ chia sẻ album cơ bản vẫn được hỗ trợ.")</f>
        <v>Chế độ chia sẻ album cơ bản vẫn được hỗ trợ.</v>
      </c>
    </row>
    <row r="71">
      <c r="A71" s="42" t="str">
        <f>IF('API Screen DB Mapping'!A74="","",'API Screen DB Mapping'!A74)</f>
        <v>UC74</v>
      </c>
      <c r="B71" s="42" t="str">
        <f>IFERROR(__xludf.DUMMYFUNCTION("IF('API Screen DB Mapping'!B74="""","""",IFERROR(GOOGLETRANSLATE('API Screen DB Mapping'!B74,""en"",""vi""),'API Screen DB Mapping'!B74))"),"Gắn thẻ các thành viên gia đình trong Album ảnh")</f>
        <v>Gắn thẻ các thành viên gia đình trong Album ảnh</v>
      </c>
      <c r="C71" s="42" t="str">
        <f>IFERROR(__xludf.DUMMYFUNCTION("IF('API Screen DB Mapping'!C74="""","""",IFERROR(GOOGLETRANSLATE('API Screen DB Mapping'!C74,""en"",""vi""),'API Screen DB Mapping'!C74))"),"Flutter Mobile")</f>
        <v>Flutter Mobile</v>
      </c>
      <c r="D71" s="42" t="str">
        <f>IF('API Screen DB Mapping'!D74="","",'API Screen DB Mapping'!D74)</f>
        <v>/api/album/media/{id}/tags</v>
      </c>
      <c r="E71" s="42" t="str">
        <f>IF('API Screen DB Mapping'!E74="","",'API Screen DB Mapping'!E74)</f>
        <v>POST/PATCH</v>
      </c>
      <c r="F71" s="42" t="str">
        <f>IF('API Screen DB Mapping'!F74="","",'API Screen DB Mapping'!F74)</f>
        <v>TBD</v>
      </c>
      <c r="G71" s="42" t="str">
        <f>IF('API Screen DB Mapping'!G74="","",'API Screen DB Mapping'!G74)</f>
        <v>TBD</v>
      </c>
      <c r="H71" s="42" t="str">
        <f>IF('API Screen DB Mapping'!H74="","",'API Screen DB Mapping'!H74)</f>
        <v>FamilyAlbumMedia, AlbumMediaTag, FamilyMember</v>
      </c>
      <c r="I71" s="42" t="str">
        <f>IF('API Screen DB Mapping'!I74="","",'API Screen DB Mapping'!I74)</f>
        <v/>
      </c>
      <c r="J71" s="42" t="str">
        <f>IF('API Screen DB Mapping'!J74="","",'API Screen DB Mapping'!J74)</f>
        <v/>
      </c>
      <c r="K71" s="42" t="str">
        <f>IF('API Screen DB Mapping'!K74="","",SWITCH('API Screen DB Mapping'!K74,"Not Started","Chưa bắt đầu","In Progress","Đang làm","Done","Hoàn thành",'API Screen DB Mapping'!K74))</f>
        <v>Chưa bắt đầu</v>
      </c>
      <c r="L71" s="42" t="str">
        <f>IFERROR(__xludf.DUMMYFUNCTION("IF('API Screen DB Mapping'!L74="""","""",IFERROR(GOOGLETRANSLATE('API Screen DB Mapping'!L74,""en"",""vi""),'API Screen DB Mapping'!L74))"),"Gắn thẻ thủ công an toàn hơn cho MVP.")</f>
        <v>Gắn thẻ thủ công an toàn hơn cho MVP.</v>
      </c>
    </row>
    <row r="72">
      <c r="A72" s="42" t="str">
        <f>IF('API Screen DB Mapping'!A75="","",'API Screen DB Mapping'!A75)</f>
        <v>UC75</v>
      </c>
      <c r="B72" s="42" t="str">
        <f>IFERROR(__xludf.DUMMYFUNCTION("IF('API Screen DB Mapping'!B75="""","""",IFERROR(GOOGLETRANSLATE('API Screen DB Mapping'!B75,""en"",""vi""),'API Screen DB Mapping'!B75))"),"Đề xuất nhóm album theo khuôn mặt")</f>
        <v>Đề xuất nhóm album theo khuôn mặt</v>
      </c>
      <c r="C72" s="42" t="str">
        <f>IFERROR(__xludf.DUMMYFUNCTION("IF('API Screen DB Mapping'!C75="""","""",IFERROR(GOOGLETRANSLATE('API Screen DB Mapping'!C75,""en"",""vi""),'API Screen DB Mapping'!C75))"),"Flutter Mobile")</f>
        <v>Flutter Mobile</v>
      </c>
      <c r="D72" s="42" t="str">
        <f>IF('API Screen DB Mapping'!D75="","",'API Screen DB Mapping'!D75)</f>
        <v>/api/album/face-grouping/suggestions</v>
      </c>
      <c r="E72" s="42" t="str">
        <f>IF('API Screen DB Mapping'!E75="","",'API Screen DB Mapping'!E75)</f>
        <v>GET/POST</v>
      </c>
      <c r="F72" s="42" t="str">
        <f>IF('API Screen DB Mapping'!F75="","",'API Screen DB Mapping'!F75)</f>
        <v>TBD</v>
      </c>
      <c r="G72" s="42" t="str">
        <f>IF('API Screen DB Mapping'!G75="","",'API Screen DB Mapping'!G75)</f>
        <v>TBD</v>
      </c>
      <c r="H72" s="42" t="str">
        <f>IF('API Screen DB Mapping'!H75="","",'API Screen DB Mapping'!H75)</f>
        <v>FamilyAlbumMedia, FaceGroupingSuggestion, AIMessage</v>
      </c>
      <c r="I72" s="42" t="str">
        <f>IF('API Screen DB Mapping'!I75="","",'API Screen DB Mapping'!I75)</f>
        <v/>
      </c>
      <c r="J72" s="42" t="str">
        <f>IF('API Screen DB Mapping'!J75="","",'API Screen DB Mapping'!J75)</f>
        <v/>
      </c>
      <c r="K72" s="42" t="str">
        <f>IF('API Screen DB Mapping'!K75="","",SWITCH('API Screen DB Mapping'!K75,"Not Started","Chưa bắt đầu","In Progress","Đang làm","Done","Hoàn thành",'API Screen DB Mapping'!K75))</f>
        <v>Chưa bắt đầu</v>
      </c>
      <c r="L72" s="42" t="str">
        <f>IFERROR(__xludf.DUMMYFUNCTION("IF('API Screen DB Mapping'!L75="""","""",IFERROR(GOOGLETRANSLATE('API Screen DB Mapping'!L75,""en"",""vi""),'API Screen DB Mapping'!L75))"),"Tính năng nâng cấp trong tương lai/chỉ dành cho bản demo.")</f>
        <v>Tính năng nâng cấp trong tương lai/chỉ dành cho bản demo.</v>
      </c>
    </row>
    <row r="73">
      <c r="A73" s="42" t="str">
        <f>IF('API Screen DB Mapping'!A76="","",'API Screen DB Mapping'!A76)</f>
        <v>UC76</v>
      </c>
      <c r="B73" s="42" t="str">
        <f>IFERROR(__xludf.DUMMYFUNCTION("IF('API Screen DB Mapping'!B76="""","""",IFERROR(GOOGLETRANSLATE('API Screen DB Mapping'!B76,""en"",""vi""),'API Screen DB Mapping'!B76))"),"Xem thông tin về gói đăng ký và quyền truy cập tính năng hiện tại.")</f>
        <v>Xem thông tin về gói đăng ký và quyền truy cập tính năng hiện tại.</v>
      </c>
      <c r="C73" s="42" t="str">
        <f>IFERROR(__xludf.DUMMYFUNCTION("IF('API Screen DB Mapping'!C76="""","""",IFERROR(GOOGLETRANSLATE('API Screen DB Mapping'!C76,""en"",""vi""),'API Screen DB Mapping'!C76))"),"Flutter Mobile")</f>
        <v>Flutter Mobile</v>
      </c>
      <c r="D73" s="42" t="str">
        <f>IF('API Screen DB Mapping'!D76="","",'API Screen DB Mapping'!D76)</f>
        <v>/api/subscriptions/current</v>
      </c>
      <c r="E73" s="42" t="str">
        <f>IF('API Screen DB Mapping'!E76="","",'API Screen DB Mapping'!E76)</f>
        <v>GET</v>
      </c>
      <c r="F73" s="42" t="str">
        <f>IF('API Screen DB Mapping'!F76="","",'API Screen DB Mapping'!F76)</f>
        <v>TBD</v>
      </c>
      <c r="G73" s="42" t="str">
        <f>IF('API Screen DB Mapping'!G76="","",'API Screen DB Mapping'!G76)</f>
        <v>TBD</v>
      </c>
      <c r="H73" s="42" t="str">
        <f>IF('API Screen DB Mapping'!H76="","",'API Screen DB Mapping'!H76)</f>
        <v>SubscriptionPlan, SubscriptionPeriod, FamilyWorkspace, FeatureAccess</v>
      </c>
      <c r="I73" s="42" t="str">
        <f>IF('API Screen DB Mapping'!I76="","",'API Screen DB Mapping'!I76)</f>
        <v/>
      </c>
      <c r="J73" s="42" t="str">
        <f>IF('API Screen DB Mapping'!J76="","",'API Screen DB Mapping'!J76)</f>
        <v/>
      </c>
      <c r="K73" s="42" t="str">
        <f>IF('API Screen DB Mapping'!K76="","",SWITCH('API Screen DB Mapping'!K76,"Not Started","Chưa bắt đầu","In Progress","Đang làm","Done","Hoàn thành",'API Screen DB Mapping'!K76))</f>
        <v>Chưa bắt đầu</v>
      </c>
      <c r="L73" s="42" t="str">
        <f>IFERROR(__xludf.DUMMYFUNCTION("IF('API Screen DB Mapping'!L76="""","""",IFERROR(GOOGLETRANSLATE('API Screen DB Mapping'!L76,""en"",""vi""),'API Screen DB Mapping'!L76))"),"Hiển thị gói dịch vụ hàng năm, giá hàng năm, ngày hết hạn, số ngày còn lại và các tính năng khả dụng/bị khóa.")</f>
        <v>Hiển thị gói dịch vụ hàng năm, giá hàng năm, ngày hết hạn, số ngày còn lại và các tính năng khả dụng/bị khóa.</v>
      </c>
    </row>
    <row r="74">
      <c r="A74" s="42" t="str">
        <f>IF('API Screen DB Mapping'!A77="","",'API Screen DB Mapping'!A77)</f>
        <v>UC77</v>
      </c>
      <c r="B74" s="42" t="str">
        <f>IFERROR(__xludf.DUMMYFUNCTION("IF('API Screen DB Mapping'!B77="""","""",IFERROR(GOOGLETRANSLATE('API Screen DB Mapping'!B77,""en"",""vi""),'API Screen DB Mapping'!B77))"),"Nâng cấp gói đăng ký")</f>
        <v>Nâng cấp gói đăng ký</v>
      </c>
      <c r="C74" s="42" t="str">
        <f>IFERROR(__xludf.DUMMYFUNCTION("IF('API Screen DB Mapping'!C77="""","""",IFERROR(GOOGLETRANSLATE('API Screen DB Mapping'!C77,""en"",""vi""),'API Screen DB Mapping'!C77))"),"Flutter Mobile")</f>
        <v>Flutter Mobile</v>
      </c>
      <c r="D74" s="42" t="str">
        <f>IF('API Screen DB Mapping'!D77="","",'API Screen DB Mapping'!D77)</f>
        <v>/api/subscriptions/upgrade-preview; /api/subscriptions/upgrade</v>
      </c>
      <c r="E74" s="42" t="str">
        <f>IF('API Screen DB Mapping'!E77="","",'API Screen DB Mapping'!E77)</f>
        <v>GET/POST</v>
      </c>
      <c r="F74" s="42" t="str">
        <f>IF('API Screen DB Mapping'!F77="","",'API Screen DB Mapping'!F77)</f>
        <v>UpgradePreviewRequestDto; UpgradeSubscriptionRequestDto</v>
      </c>
      <c r="G74" s="42" t="str">
        <f>IF('API Screen DB Mapping'!G77="","",'API Screen DB Mapping'!G77)</f>
        <v>UpgradePreviewResponseDto; SubscriptionPaymentResponseDto</v>
      </c>
      <c r="H74" s="42" t="str">
        <f>IF('API Screen DB Mapping'!H77="","",'API Screen DB Mapping'!H77)</f>
        <v>SubscriptionPlan, SubscriptionPeriod, SubscriptionPayment, UpgradeInvoice, FamilyWorkspace, FeatureAccess</v>
      </c>
      <c r="I74" s="42" t="str">
        <f>IF('API Screen DB Mapping'!I77="","",'API Screen DB Mapping'!I77)</f>
        <v/>
      </c>
      <c r="J74" s="42" t="str">
        <f>IF('API Screen DB Mapping'!J77="","",'API Screen DB Mapping'!J77)</f>
        <v/>
      </c>
      <c r="K74" s="42" t="str">
        <f>IF('API Screen DB Mapping'!K77="","",SWITCH('API Screen DB Mapping'!K77,"Not Started","Chưa bắt đầu","In Progress","Đang làm","Done","Hoàn thành",'API Screen DB Mapping'!K77))</f>
        <v>Chưa bắt đầu</v>
      </c>
      <c r="L74" s="42" t="str">
        <f>IFERROR(__xludf.DUMMYFUNCTION("IF('API Screen DB Mapping'!L77="""","""",IFERROR(GOOGLETRANSLATE('API Screen DB Mapping'!L77,""en"",""vi""),'API Screen DB Mapping'!L77))"),"Xem trước phí nâng cấp được tính theo tỷ lệ trước khi thanh toán. Việc nâng cấp từ gói Plus lên Premium sử dụng chênh lệch giá hàng năm và số ngày còn lại. Thanh toán chỉ dành cho phí đăng ký.")</f>
        <v>Xem trước phí nâng cấp được tính theo tỷ lệ trước khi thanh toán. Việc nâng cấp từ gói Plus lên Premium sử dụng chênh lệch giá hàng năm và số ngày còn lại. Thanh toán chỉ dành cho phí đăng ký.</v>
      </c>
    </row>
    <row r="75">
      <c r="A75" s="42" t="str">
        <f>IF('API Screen DB Mapping'!A78="","",'API Screen DB Mapping'!A78)</f>
        <v>UC78</v>
      </c>
      <c r="B75" s="42" t="str">
        <f>IFERROR(__xludf.DUMMYFUNCTION("IF('API Screen DB Mapping'!B78="""","""",IFERROR(GOOGLETRANSLATE('API Screen DB Mapping'!B78,""en"",""vi""),'API Screen DB Mapping'!B78))"),"Xử lý việc hết hạn đăng ký / Quyền truy cập hạn chế")</f>
        <v>Xử lý việc hết hạn đăng ký / Quyền truy cập hạn chế</v>
      </c>
      <c r="C75" s="42" t="str">
        <f>IFERROR(__xludf.DUMMYFUNCTION("IF('API Screen DB Mapping'!C78="""","""",IFERROR(GOOGLETRANSLATE('API Screen DB Mapping'!C78,""en"",""vi""),'API Screen DB Mapping'!C78))"),"Flutter Mobile")</f>
        <v>Flutter Mobile</v>
      </c>
      <c r="D75" s="42" t="str">
        <f>IF('API Screen DB Mapping'!D78="","",'API Screen DB Mapping'!D78)</f>
        <v>/api/subscriptions/limited-access</v>
      </c>
      <c r="E75" s="42" t="str">
        <f>IF('API Screen DB Mapping'!E78="","",'API Screen DB Mapping'!E78)</f>
        <v>GET/PATCH</v>
      </c>
      <c r="F75" s="42" t="str">
        <f>IF('API Screen DB Mapping'!F78="","",'API Screen DB Mapping'!F78)</f>
        <v>TBD</v>
      </c>
      <c r="G75" s="42" t="str">
        <f>IF('API Screen DB Mapping'!G78="","",'API Screen DB Mapping'!G78)</f>
        <v>TBD</v>
      </c>
      <c r="H75" s="42" t="str">
        <f>IF('API Screen DB Mapping'!H78="","",'API Screen DB Mapping'!H78)</f>
        <v>SubscriptionPlan, SubscriptionPeriod, FamilyWorkspace, FeatureAccess</v>
      </c>
      <c r="I75" s="42" t="str">
        <f>IF('API Screen DB Mapping'!I78="","",'API Screen DB Mapping'!I78)</f>
        <v/>
      </c>
      <c r="J75" s="42" t="str">
        <f>IF('API Screen DB Mapping'!J78="","",'API Screen DB Mapping'!J78)</f>
        <v/>
      </c>
      <c r="K75" s="42" t="str">
        <f>IF('API Screen DB Mapping'!K78="","",SWITCH('API Screen DB Mapping'!K78,"Not Started","Chưa bắt đầu","In Progress","Đang làm","Done","Hoàn thành",'API Screen DB Mapping'!K78))</f>
        <v>Chưa bắt đầu</v>
      </c>
      <c r="L75" s="42" t="str">
        <f>IFERROR(__xludf.DUMMYFUNCTION("IF('API Screen DB Mapping'!L78="""","""",IFERROR(GOOGLETRANSLATE('API Screen DB Mapping'!L78,""en"",""vi""),'API Screen DB Mapping'!L78))"),"Gói đăng ký hàng năm đã hết hạn sẽ khóa các tính năng nâng cao nhưng vẫn cho phép xem dữ liệu hiện có.")</f>
        <v>Gói đăng ký hàng năm đã hết hạn sẽ khóa các tính năng nâng cao nhưng vẫn cho phép xem dữ liệu hiện có.</v>
      </c>
    </row>
    <row r="76">
      <c r="A76" s="42" t="str">
        <f>IF('API Screen DB Mapping'!A79="","",'API Screen DB Mapping'!A79)</f>
        <v>UC79</v>
      </c>
      <c r="B76" s="42" t="str">
        <f>IFERROR(__xludf.DUMMYFUNCTION("IF('API Screen DB Mapping'!B79="""","""",IFERROR(GOOGLETRANSLATE('API Screen DB Mapping'!B79,""en"",""vi""),'API Screen DB Mapping'!B79))"),"Cài đặt chia sẻ vị trí")</f>
        <v>Cài đặt chia sẻ vị trí</v>
      </c>
      <c r="C76" s="42" t="str">
        <f>IFERROR(__xludf.DUMMYFUNCTION("IF('API Screen DB Mapping'!C79="""","""",IFERROR(GOOGLETRANSLATE('API Screen DB Mapping'!C79,""en"",""vi""),'API Screen DB Mapping'!C79))"),"Flutter Mobile")</f>
        <v>Flutter Mobile</v>
      </c>
      <c r="D76" s="42" t="str">
        <f>IF('API Screen DB Mapping'!D79="","",'API Screen DB Mapping'!D79)</f>
        <v>/api/location-sharing</v>
      </c>
      <c r="E76" s="42" t="str">
        <f>IF('API Screen DB Mapping'!E79="","",'API Screen DB Mapping'!E79)</f>
        <v>GET/PATCH</v>
      </c>
      <c r="F76" s="42" t="str">
        <f>IF('API Screen DB Mapping'!F79="","",'API Screen DB Mapping'!F79)</f>
        <v>UpdateLocationSharingDto</v>
      </c>
      <c r="G76" s="42" t="str">
        <f>IF('API Screen DB Mapping'!G79="","",'API Screen DB Mapping'!G79)</f>
        <v>LocationSharingStatusResponseDto</v>
      </c>
      <c r="H76" s="42" t="str">
        <f>IF('API Screen DB Mapping'!H79="","",'API Screen DB Mapping'!H79)</f>
        <v>FamilyMember, FamilyWorkspace</v>
      </c>
      <c r="I76" s="42" t="str">
        <f>IF('API Screen DB Mapping'!I79="","",'API Screen DB Mapping'!I79)</f>
        <v/>
      </c>
      <c r="J76" s="42" t="str">
        <f>IF('API Screen DB Mapping'!J79="","",'API Screen DB Mapping'!J79)</f>
        <v/>
      </c>
      <c r="K76" s="42" t="str">
        <f>IF('API Screen DB Mapping'!K79="","",SWITCH('API Screen DB Mapping'!K79,"Not Started","Chưa bắt đầu","In Progress","Đang làm","Done","Hoàn thành",'API Screen DB Mapping'!K79))</f>
        <v>Chưa bắt đầu</v>
      </c>
      <c r="L76" s="42" t="str">
        <f>IFERROR(__xludf.DUMMYFUNCTION("IF('API Screen DB Mapping'!L79="""","""",IFERROR(GOOGLETRANSLATE('API Screen DB Mapping'!L79,""en"",""vi""),'API Screen DB Mapping'!L79))"),"Thông tin này có thể được lưu trữ dưới dạng cài đặt/hồ sơ thành viên tùy thuộc vào cách triển khai cuối cùng.")</f>
        <v>Thông tin này có thể được lưu trữ dưới dạng cài đặt/hồ sơ thành viên tùy thuộc vào cách triển khai cuối cùng.</v>
      </c>
    </row>
    <row r="77">
      <c r="A77" s="42" t="str">
        <f>IF('API Screen DB Mapping'!A80="","",'API Screen DB Mapping'!A80)</f>
        <v>UC80</v>
      </c>
      <c r="B77" s="42" t="str">
        <f>IFERROR(__xludf.DUMMYFUNCTION("IF('API Screen DB Mapping'!B80="""","""",IFERROR(GOOGLETRANSLATE('API Screen DB Mapping'!B80,""en"",""vi""),'API Screen DB Mapping'!B80))"),"Chia sẻ / Ghi lại vị trí điểm của thành viên")</f>
        <v>Chia sẻ / Ghi lại vị trí điểm của thành viên</v>
      </c>
      <c r="C77" s="42" t="str">
        <f>IFERROR(__xludf.DUMMYFUNCTION("IF('API Screen DB Mapping'!C80="""","""",IFERROR(GOOGLETRANSLATE('API Screen DB Mapping'!C80,""en"",""vi""),'API Screen DB Mapping'!C80))"),"Ứng dụng di động/thiết bị đeo được Flutter")</f>
        <v>Ứng dụng di động/thiết bị đeo được Flutter</v>
      </c>
      <c r="D77" s="42" t="str">
        <f>IF('API Screen DB Mapping'!D80="","",'API Screen DB Mapping'!D80)</f>
        <v>/api/locations/member-points</v>
      </c>
      <c r="E77" s="42" t="str">
        <f>IF('API Screen DB Mapping'!E80="","",'API Screen DB Mapping'!E80)</f>
        <v>POST</v>
      </c>
      <c r="F77" s="42" t="str">
        <f>IF('API Screen DB Mapping'!F80="","",'API Screen DB Mapping'!F80)</f>
        <v>RecordMemberLocationPointDto</v>
      </c>
      <c r="G77" s="42" t="str">
        <f>IF('API Screen DB Mapping'!G80="","",'API Screen DB Mapping'!G80)</f>
        <v>MemberLocationPointResponseDto</v>
      </c>
      <c r="H77" s="42" t="str">
        <f>IF('API Screen DB Mapping'!H80="","",'API Screen DB Mapping'!H80)</f>
        <v>MemberLocationPoint, FamilyMember, FamilyWorkspace, WearableDevice</v>
      </c>
      <c r="I77" s="42" t="str">
        <f>IF('API Screen DB Mapping'!I80="","",'API Screen DB Mapping'!I80)</f>
        <v/>
      </c>
      <c r="J77" s="42" t="str">
        <f>IF('API Screen DB Mapping'!J80="","",'API Screen DB Mapping'!J80)</f>
        <v/>
      </c>
      <c r="K77" s="42" t="str">
        <f>IF('API Screen DB Mapping'!K80="","",SWITCH('API Screen DB Mapping'!K80,"Not Started","Chưa bắt đầu","In Progress","Đang làm","Done","Hoàn thành",'API Screen DB Mapping'!K80))</f>
        <v>Chưa bắt đầu</v>
      </c>
      <c r="L77" s="42" t="str">
        <f>IFERROR(__xludf.DUMMYFUNCTION("IF('API Screen DB Mapping'!L80="""","""",IFERROR(GOOGLETRANSLATE('API Screen DB Mapping'!L80,""en"",""vi""),'API Screen DB Mapping'!L80))"),"Bản ghi theo dõi thông thường. Không sử dụng SOSLocationPoint trừ khi có cảnh báo SOS đang hoạt động.")</f>
        <v>Bản ghi theo dõi thông thường. Không sử dụng SOSLocationPoint trừ khi có cảnh báo SOS đang hoạt động.</v>
      </c>
    </row>
    <row r="78">
      <c r="A78" s="42" t="str">
        <f>IF('API Screen DB Mapping'!A81="","",'API Screen DB Mapping'!A81)</f>
        <v>UC81</v>
      </c>
      <c r="B78" s="42" t="str">
        <f>IFERROR(__xludf.DUMMYFUNCTION("IF('API Screen DB Mapping'!B81="""","""",IFERROR(GOOGLETRANSLATE('API Screen DB Mapping'!B81,""en"",""vi""),'API Screen DB Mapping'!B81))"),"Xem theo dõi vị trí thành viên gia đình")</f>
        <v>Xem theo dõi vị trí thành viên gia đình</v>
      </c>
      <c r="C78" s="42" t="str">
        <f>IFERROR(__xludf.DUMMYFUNCTION("IF('API Screen DB Mapping'!C81="""","""",IFERROR(GOOGLETRANSLATE('API Screen DB Mapping'!C81,""en"",""vi""),'API Screen DB Mapping'!C81))"),"Flutter Mobile")</f>
        <v>Flutter Mobile</v>
      </c>
      <c r="D78" s="42" t="str">
        <f>IF('API Screen DB Mapping'!D81="","",'API Screen DB Mapping'!D81)</f>
        <v>/api/locations/member-points</v>
      </c>
      <c r="E78" s="42" t="str">
        <f>IF('API Screen DB Mapping'!E81="","",'API Screen DB Mapping'!E81)</f>
        <v>GET</v>
      </c>
      <c r="F78" s="42" t="str">
        <f>IF('API Screen DB Mapping'!F81="","",'API Screen DB Mapping'!F81)</f>
        <v>MemberLocationQueryDto</v>
      </c>
      <c r="G78" s="42" t="str">
        <f>IF('API Screen DB Mapping'!G81="","",'API Screen DB Mapping'!G81)</f>
        <v>List&lt;MemberLocationPointResponseDto&gt;</v>
      </c>
      <c r="H78" s="42" t="str">
        <f>IF('API Screen DB Mapping'!H81="","",'API Screen DB Mapping'!H81)</f>
        <v>MemberLocationPoint, FamilyMember, FamilyWorkspace</v>
      </c>
      <c r="I78" s="42" t="str">
        <f>IF('API Screen DB Mapping'!I81="","",'API Screen DB Mapping'!I81)</f>
        <v/>
      </c>
      <c r="J78" s="42" t="str">
        <f>IF('API Screen DB Mapping'!J81="","",'API Screen DB Mapping'!J81)</f>
        <v/>
      </c>
      <c r="K78" s="42" t="str">
        <f>IF('API Screen DB Mapping'!K81="","",SWITCH('API Screen DB Mapping'!K81,"Not Started","Chưa bắt đầu","In Progress","Đang làm","Done","Hoàn thành",'API Screen DB Mapping'!K81))</f>
        <v>Chưa bắt đầu</v>
      </c>
      <c r="L78" s="42" t="str">
        <f>IFERROR(__xludf.DUMMYFUNCTION("IF('API Screen DB Mapping'!L81="""","""",IFERROR(GOOGLETRANSLATE('API Screen DB Mapping'!L81,""en"",""vi""),'API Screen DB Mapping'!L81))"),"Dùng để lập bản đồ gia đình/xác định vị trí hiện tại/lịch sử cơ bản kèm theo xác minh quyền truy cập.")</f>
        <v>Dùng để lập bản đồ gia đình/xác định vị trí hiện tại/lịch sử cơ bản kèm theo xác minh quyền truy cập.</v>
      </c>
    </row>
    <row r="79">
      <c r="A79" s="42" t="str">
        <f>IF('API Screen DB Mapping'!A82="","",'API Screen DB Mapping'!A82)</f>
        <v>UC82</v>
      </c>
      <c r="B79" s="42" t="str">
        <f>IFERROR(__xludf.DUMMYFUNCTION("IF('API Screen DB Mapping'!B82="""","""",IFERROR(GOOGLETRANSLATE('API Screen DB Mapping'!B82,""en"",""vi""),'API Screen DB Mapping'!B82))"),"Chọn mô hình tài chính gia đình")</f>
        <v>Chọn mô hình tài chính gia đình</v>
      </c>
      <c r="C79" s="42" t="str">
        <f>IFERROR(__xludf.DUMMYFUNCTION("IF('API Screen DB Mapping'!C82="""","""",IFERROR(GOOGLETRANSLATE('API Screen DB Mapping'!C82,""en"",""vi""),'API Screen DB Mapping'!C82))"),"Flutter Mobile")</f>
        <v>Flutter Mobile</v>
      </c>
      <c r="D79" s="42" t="str">
        <f>IF('API Screen DB Mapping'!D82="","",'API Screen DB Mapping'!D82)</f>
        <v>/api/finance/models</v>
      </c>
      <c r="E79" s="42" t="str">
        <f>IF('API Screen DB Mapping'!E82="","",'API Screen DB Mapping'!E82)</f>
        <v>GET/POST</v>
      </c>
      <c r="F79" s="42" t="str">
        <f>IF('API Screen DB Mapping'!F82="","",'API Screen DB Mapping'!F82)</f>
        <v>CreateFinanceModelDto</v>
      </c>
      <c r="G79" s="42" t="str">
        <f>IF('API Screen DB Mapping'!G82="","",'API Screen DB Mapping'!G82)</f>
        <v>FinanceModelResponseDto</v>
      </c>
      <c r="H79" s="42" t="str">
        <f>IF('API Screen DB Mapping'!H82="","",'API Screen DB Mapping'!H82)</f>
        <v>FinanceModel, FinanceJar, FamilyWorkspace</v>
      </c>
      <c r="I79" s="42" t="str">
        <f>IF('API Screen DB Mapping'!I82="","",'API Screen DB Mapping'!I82)</f>
        <v/>
      </c>
      <c r="J79" s="42" t="str">
        <f>IF('API Screen DB Mapping'!J82="","",'API Screen DB Mapping'!J82)</f>
        <v/>
      </c>
      <c r="K79" s="42" t="str">
        <f>IF('API Screen DB Mapping'!K82="","",SWITCH('API Screen DB Mapping'!K82,"Not Started","Chưa bắt đầu","In Progress","Đang làm","Done","Hoàn thành",'API Screen DB Mapping'!K82))</f>
        <v>Chưa bắt đầu</v>
      </c>
      <c r="L79" s="42" t="str">
        <f>IFERROR(__xludf.DUMMYFUNCTION("IF('API Screen DB Mapping'!L82="""","""",IFERROR(GOOGLETRANSLATE('API Screen DB Mapping'!L82,""en"",""vi""),'API Screen DB Mapping'!L82))"),"Hãy chọn mô hình 5 hũ, 80/20 hoặc mô hình tùy chỉnh để lập kế hoạch tài chính gia đình.")</f>
        <v>Hãy chọn mô hình 5 hũ, 80/20 hoặc mô hình tùy chỉnh để lập kế hoạch tài chính gia đình.</v>
      </c>
    </row>
    <row r="80">
      <c r="A80" s="42" t="str">
        <f>IF('API Screen DB Mapping'!A83="","",'API Screen DB Mapping'!A83)</f>
        <v>UC83</v>
      </c>
      <c r="B80" s="42" t="str">
        <f>IFERROR(__xludf.DUMMYFUNCTION("IF('API Screen DB Mapping'!B83="""","""",IFERROR(GOOGLETRANSLATE('API Screen DB Mapping'!B83,""en"",""vi""),'API Screen DB Mapping'!B83))"),"Cấu hình các quỹ/hũ tài chính")</f>
        <v>Cấu hình các quỹ/hũ tài chính</v>
      </c>
      <c r="C80" s="42" t="str">
        <f>IFERROR(__xludf.DUMMYFUNCTION("IF('API Screen DB Mapping'!C83="""","""",IFERROR(GOOGLETRANSLATE('API Screen DB Mapping'!C83,""en"",""vi""),'API Screen DB Mapping'!C83))"),"Flutter Mobile")</f>
        <v>Flutter Mobile</v>
      </c>
      <c r="D80" s="42" t="str">
        <f>IF('API Screen DB Mapping'!D83="","",'API Screen DB Mapping'!D83)</f>
        <v>/api/finance/jars</v>
      </c>
      <c r="E80" s="42" t="str">
        <f>IF('API Screen DB Mapping'!E83="","",'API Screen DB Mapping'!E83)</f>
        <v>GET/POST/PATCH</v>
      </c>
      <c r="F80" s="42" t="str">
        <f>IF('API Screen DB Mapping'!F83="","",'API Screen DB Mapping'!F83)</f>
        <v>UpsertFinanceJarDto</v>
      </c>
      <c r="G80" s="42" t="str">
        <f>IF('API Screen DB Mapping'!G83="","",'API Screen DB Mapping'!G83)</f>
        <v>FinanceJarResponseDto</v>
      </c>
      <c r="H80" s="42" t="str">
        <f>IF('API Screen DB Mapping'!H83="","",'API Screen DB Mapping'!H83)</f>
        <v>FinanceJar, FinanceModel, FamilyWorkspace</v>
      </c>
      <c r="I80" s="42" t="str">
        <f>IF('API Screen DB Mapping'!I83="","",'API Screen DB Mapping'!I83)</f>
        <v/>
      </c>
      <c r="J80" s="42" t="str">
        <f>IF('API Screen DB Mapping'!J83="","",'API Screen DB Mapping'!J83)</f>
        <v/>
      </c>
      <c r="K80" s="42" t="str">
        <f>IF('API Screen DB Mapping'!K83="","",SWITCH('API Screen DB Mapping'!K83,"Not Started","Chưa bắt đầu","In Progress","Đang làm","Done","Hoàn thành",'API Screen DB Mapping'!K83))</f>
        <v>Chưa bắt đầu</v>
      </c>
      <c r="L80" s="42" t="str">
        <f>IFERROR(__xludf.DUMMYFUNCTION("IF('API Screen DB Mapping'!L83="""","""",IFERROR(GOOGLETRANSLATE('API Screen DB Mapping'!L83,""en"",""vi""),'API Screen DB Mapping'!L83))"),"Cấu hình mục đích sử dụng quỹ/hũ, tỷ lệ phân bổ, ngưỡng và khả năng hiển thị.")</f>
        <v>Cấu hình mục đích sử dụng quỹ/hũ, tỷ lệ phân bổ, ngưỡng và khả năng hiển thị.</v>
      </c>
    </row>
    <row r="81">
      <c r="A81" s="42" t="str">
        <f>IF('API Screen DB Mapping'!A84="","",'API Screen DB Mapping'!A84)</f>
        <v>UC84</v>
      </c>
      <c r="B81" s="42" t="str">
        <f>IFERROR(__xludf.DUMMYFUNCTION("IF('API Screen DB Mapping'!B84="""","""",IFERROR(GOOGLETRANSLATE('API Screen DB Mapping'!B84,""en"",""vi""),'API Screen DB Mapping'!B84))"),"Phân loại thu nhập và chi phí")</f>
        <v>Phân loại thu nhập và chi phí</v>
      </c>
      <c r="C81" s="42" t="str">
        <f>IFERROR(__xludf.DUMMYFUNCTION("IF('API Screen DB Mapping'!C84="""","""",IFERROR(GOOGLETRANSLATE('API Screen DB Mapping'!C84,""en"",""vi""),'API Screen DB Mapping'!C84))"),"Flutter Mobile")</f>
        <v>Flutter Mobile</v>
      </c>
      <c r="D81" s="42" t="str">
        <f>IF('API Screen DB Mapping'!D84="","",'API Screen DB Mapping'!D84)</f>
        <v>/api/finance/ledger-entries/{id}/category</v>
      </c>
      <c r="E81" s="42" t="str">
        <f>IF('API Screen DB Mapping'!E84="","",'API Screen DB Mapping'!E84)</f>
        <v>PATCH</v>
      </c>
      <c r="F81" s="42" t="str">
        <f>IF('API Screen DB Mapping'!F84="","",'API Screen DB Mapping'!F84)</f>
        <v>CategorizeLedgerEntryDto</v>
      </c>
      <c r="G81" s="42" t="str">
        <f>IF('API Screen DB Mapping'!G84="","",'API Screen DB Mapping'!G84)</f>
        <v>LedgerEntryResponseDto</v>
      </c>
      <c r="H81" s="42" t="str">
        <f>IF('API Screen DB Mapping'!H84="","",'API Screen DB Mapping'!H84)</f>
        <v>LedgerEntry, FinanceCategory, FinanceJar</v>
      </c>
      <c r="I81" s="42" t="str">
        <f>IF('API Screen DB Mapping'!I84="","",'API Screen DB Mapping'!I84)</f>
        <v/>
      </c>
      <c r="J81" s="42" t="str">
        <f>IF('API Screen DB Mapping'!J84="","",'API Screen DB Mapping'!J84)</f>
        <v/>
      </c>
      <c r="K81" s="42" t="str">
        <f>IF('API Screen DB Mapping'!K84="","",SWITCH('API Screen DB Mapping'!K84,"Not Started","Chưa bắt đầu","In Progress","Đang làm","Done","Hoàn thành",'API Screen DB Mapping'!K84))</f>
        <v>Chưa bắt đầu</v>
      </c>
      <c r="L81" s="42" t="str">
        <f>IFERROR(__xludf.DUMMYFUNCTION("IF('API Screen DB Mapping'!L84="""","""",IFERROR(GOOGLETRANSLATE('API Screen DB Mapping'!L84,""en"",""vi""),'API Screen DB Mapping'!L84))"),"Phân loại thủ công là cốt lõi; đề xuất bằng AI/OCR là tùy chọn.")</f>
        <v>Phân loại thủ công là cốt lõi; đề xuất bằng AI/OCR là tùy chọn.</v>
      </c>
    </row>
    <row r="82">
      <c r="A82" s="42" t="str">
        <f>IF('API Screen DB Mapping'!A85="","",'API Screen DB Mapping'!A85)</f>
        <v>UC85</v>
      </c>
      <c r="B82" s="42" t="str">
        <f>IFERROR(__xludf.DUMMYFUNCTION("IF('API Screen DB Mapping'!B85="""","""",IFERROR(GOOGLETRANSLATE('API Screen DB Mapping'!B85,""en"",""vi""),'API Screen DB Mapping'!B85))"),"Đánh dấu khoản chi phí là thiết yếu hoặc không thiết yếu")</f>
        <v>Đánh dấu khoản chi phí là thiết yếu hoặc không thiết yếu</v>
      </c>
      <c r="C82" s="42" t="str">
        <f>IFERROR(__xludf.DUMMYFUNCTION("IF('API Screen DB Mapping'!C85="""","""",IFERROR(GOOGLETRANSLATE('API Screen DB Mapping'!C85,""en"",""vi""),'API Screen DB Mapping'!C85))"),"Flutter Mobile")</f>
        <v>Flutter Mobile</v>
      </c>
      <c r="D82" s="42" t="str">
        <f>IF('API Screen DB Mapping'!D85="","",'API Screen DB Mapping'!D85)</f>
        <v>/api/finance/ledger-entries/{id}/essential-type</v>
      </c>
      <c r="E82" s="42" t="str">
        <f>IF('API Screen DB Mapping'!E85="","",'API Screen DB Mapping'!E85)</f>
        <v>PATCH</v>
      </c>
      <c r="F82" s="42" t="str">
        <f>IF('API Screen DB Mapping'!F85="","",'API Screen DB Mapping'!F85)</f>
        <v>UpdateEssentialTypeDto</v>
      </c>
      <c r="G82" s="42" t="str">
        <f>IF('API Screen DB Mapping'!G85="","",'API Screen DB Mapping'!G85)</f>
        <v>LedgerEntryResponseDto</v>
      </c>
      <c r="H82" s="42" t="str">
        <f>IF('API Screen DB Mapping'!H85="","",'API Screen DB Mapping'!H85)</f>
        <v>LedgerEntry, FinanceCategory</v>
      </c>
      <c r="I82" s="42" t="str">
        <f>IF('API Screen DB Mapping'!I85="","",'API Screen DB Mapping'!I85)</f>
        <v/>
      </c>
      <c r="J82" s="42" t="str">
        <f>IF('API Screen DB Mapping'!J85="","",'API Screen DB Mapping'!J85)</f>
        <v/>
      </c>
      <c r="K82" s="42" t="str">
        <f>IF('API Screen DB Mapping'!K85="","",SWITCH('API Screen DB Mapping'!K85,"Not Started","Chưa bắt đầu","In Progress","Đang làm","Done","Hoàn thành",'API Screen DB Mapping'!K85))</f>
        <v>Chưa bắt đầu</v>
      </c>
      <c r="L82" s="42" t="str">
        <f>IFERROR(__xludf.DUMMYFUNCTION("IF('API Screen DB Mapping'!L85="""","""",IFERROR(GOOGLETRANSLATE('API Screen DB Mapping'!L85,""en"",""vi""),'API Screen DB Mapping'!L85))"),"Hỗ trợ các đề xuất tiết kiệm, cảnh báo ngân sách và phân tích rủi ro mục tiêu.")</f>
        <v>Hỗ trợ các đề xuất tiết kiệm, cảnh báo ngân sách và phân tích rủi ro mục tiêu.</v>
      </c>
    </row>
    <row r="83">
      <c r="A83" s="42" t="str">
        <f>IF('API Screen DB Mapping'!A86="","",'API Screen DB Mapping'!A86)</f>
        <v>UC86</v>
      </c>
      <c r="B83" s="42" t="str">
        <f>IFERROR(__xludf.DUMMYFUNCTION("IF('API Screen DB Mapping'!B86="""","""",IFERROR(GOOGLETRANSLATE('API Screen DB Mapping'!B86,""en"",""vi""),'API Screen DB Mapping'!B86))"),"Đặt mục tiêu tài chính gia đình")</f>
        <v>Đặt mục tiêu tài chính gia đình</v>
      </c>
      <c r="C83" s="42" t="str">
        <f>IFERROR(__xludf.DUMMYFUNCTION("IF('API Screen DB Mapping'!C86="""","""",IFERROR(GOOGLETRANSLATE('API Screen DB Mapping'!C86,""en"",""vi""),'API Screen DB Mapping'!C86))"),"Flutter Mobile")</f>
        <v>Flutter Mobile</v>
      </c>
      <c r="D83" s="42" t="str">
        <f>IF('API Screen DB Mapping'!D86="","",'API Screen DB Mapping'!D86)</f>
        <v>/api/finance/goals</v>
      </c>
      <c r="E83" s="42" t="str">
        <f>IF('API Screen DB Mapping'!E86="","",'API Screen DB Mapping'!E86)</f>
        <v>POST</v>
      </c>
      <c r="F83" s="42" t="str">
        <f>IF('API Screen DB Mapping'!F86="","",'API Screen DB Mapping'!F86)</f>
        <v>CreateFinancialGoalDto</v>
      </c>
      <c r="G83" s="42" t="str">
        <f>IF('API Screen DB Mapping'!G86="","",'API Screen DB Mapping'!G86)</f>
        <v>FinancialGoalResponseDto</v>
      </c>
      <c r="H83" s="42" t="str">
        <f>IF('API Screen DB Mapping'!H86="","",'API Screen DB Mapping'!H86)</f>
        <v>FinancialGoal, FinanceJar, FamilyWorkspace</v>
      </c>
      <c r="I83" s="42" t="str">
        <f>IF('API Screen DB Mapping'!I86="","",'API Screen DB Mapping'!I86)</f>
        <v/>
      </c>
      <c r="J83" s="42" t="str">
        <f>IF('API Screen DB Mapping'!J86="","",'API Screen DB Mapping'!J86)</f>
        <v/>
      </c>
      <c r="K83" s="42" t="str">
        <f>IF('API Screen DB Mapping'!K86="","",SWITCH('API Screen DB Mapping'!K86,"Not Started","Chưa bắt đầu","In Progress","Đang làm","Done","Hoàn thành",'API Screen DB Mapping'!K86))</f>
        <v>Chưa bắt đầu</v>
      </c>
      <c r="L83" s="42" t="str">
        <f>IFERROR(__xludf.DUMMYFUNCTION("IF('API Screen DB Mapping'!L86="""","""",IFERROR(GOOGLETRANSLATE('API Screen DB Mapping'!L86,""en"",""vi""),'API Screen DB Mapping'!L86))"),"Thiết lập mục tiêu số tiền cần đạt, thời hạn, quỹ/tài khoản liên quan và mục tiêu đóng góp hàng tháng.")</f>
        <v>Thiết lập mục tiêu số tiền cần đạt, thời hạn, quỹ/tài khoản liên quan và mục tiêu đóng góp hàng tháng.</v>
      </c>
    </row>
    <row r="84">
      <c r="A84" s="42" t="str">
        <f>IF('API Screen DB Mapping'!A87="","",'API Screen DB Mapping'!A87)</f>
        <v>UC87</v>
      </c>
      <c r="B84" s="42" t="str">
        <f>IFERROR(__xludf.DUMMYFUNCTION("IF('API Screen DB Mapping'!B87="""","""",IFERROR(GOOGLETRANSLATE('API Screen DB Mapping'!B87,""en"",""vi""),'API Screen DB Mapping'!B87))"),"Phân bổ tiền vào quỹ mục tiêu")</f>
        <v>Phân bổ tiền vào quỹ mục tiêu</v>
      </c>
      <c r="C84" s="42" t="str">
        <f>IFERROR(__xludf.DUMMYFUNCTION("IF('API Screen DB Mapping'!C87="""","""",IFERROR(GOOGLETRANSLATE('API Screen DB Mapping'!C87,""en"",""vi""),'API Screen DB Mapping'!C87))"),"Flutter Mobile")</f>
        <v>Flutter Mobile</v>
      </c>
      <c r="D84" s="42" t="str">
        <f>IF('API Screen DB Mapping'!D87="","",'API Screen DB Mapping'!D87)</f>
        <v>/api/finance/goals/{id}/allocations</v>
      </c>
      <c r="E84" s="42" t="str">
        <f>IF('API Screen DB Mapping'!E87="","",'API Screen DB Mapping'!E87)</f>
        <v>POST</v>
      </c>
      <c r="F84" s="42" t="str">
        <f>IF('API Screen DB Mapping'!F87="","",'API Screen DB Mapping'!F87)</f>
        <v>CreateGoalAllocationDto</v>
      </c>
      <c r="G84" s="42" t="str">
        <f>IF('API Screen DB Mapping'!G87="","",'API Screen DB Mapping'!G87)</f>
        <v>GoalAllocationResponseDto</v>
      </c>
      <c r="H84" s="42" t="str">
        <f>IF('API Screen DB Mapping'!H87="","",'API Screen DB Mapping'!H87)</f>
        <v>GoalAllocation, FinancialGoal, LedgerEntry</v>
      </c>
      <c r="I84" s="42" t="str">
        <f>IF('API Screen DB Mapping'!I87="","",'API Screen DB Mapping'!I87)</f>
        <v/>
      </c>
      <c r="J84" s="42" t="str">
        <f>IF('API Screen DB Mapping'!J87="","",'API Screen DB Mapping'!J87)</f>
        <v/>
      </c>
      <c r="K84" s="42" t="str">
        <f>IF('API Screen DB Mapping'!K87="","",SWITCH('API Screen DB Mapping'!K87,"Not Started","Chưa bắt đầu","In Progress","Đang làm","Done","Hoàn thành",'API Screen DB Mapping'!K87))</f>
        <v>Chưa bắt đầu</v>
      </c>
      <c r="L84" s="42" t="str">
        <f>IFERROR(__xludf.DUMMYFUNCTION("IF('API Screen DB Mapping'!L87="""","""",IFERROR(GOOGLETRANSLATE('API Screen DB Mapping'!L87,""en"",""vi""),'API Screen DB Mapping'!L87))"),"Phân bổ một khoản tiền nội bộ cho mục tiêu; không thực hiện chuyển tiền thực tế.")</f>
        <v>Phân bổ một khoản tiền nội bộ cho mục tiêu; không thực hiện chuyển tiền thực tế.</v>
      </c>
    </row>
    <row r="85">
      <c r="A85" s="42" t="str">
        <f>IF('API Screen DB Mapping'!A88="","",'API Screen DB Mapping'!A88)</f>
        <v>UC88</v>
      </c>
      <c r="B85" s="42" t="str">
        <f>IFERROR(__xludf.DUMMYFUNCTION("IF('API Screen DB Mapping'!B88="""","""",IFERROR(GOOGLETRANSLATE('API Screen DB Mapping'!B88,""en"",""vi""),'API Screen DB Mapping'!B88))"),"Theo dõi tiến độ đạt mục tiêu tài chính")</f>
        <v>Theo dõi tiến độ đạt mục tiêu tài chính</v>
      </c>
      <c r="C85" s="42" t="str">
        <f>IFERROR(__xludf.DUMMYFUNCTION("IF('API Screen DB Mapping'!C88="""","""",IFERROR(GOOGLETRANSLATE('API Screen DB Mapping'!C88,""en"",""vi""),'API Screen DB Mapping'!C88))"),"Flutter Mobile")</f>
        <v>Flutter Mobile</v>
      </c>
      <c r="D85" s="42" t="str">
        <f>IF('API Screen DB Mapping'!D88="","",'API Screen DB Mapping'!D88)</f>
        <v>/api/finance/goals</v>
      </c>
      <c r="E85" s="42" t="str">
        <f>IF('API Screen DB Mapping'!E88="","",'API Screen DB Mapping'!E88)</f>
        <v>GET</v>
      </c>
      <c r="F85" s="42" t="str">
        <f>IF('API Screen DB Mapping'!F88="","",'API Screen DB Mapping'!F88)</f>
        <v>FinancialGoalQueryDto</v>
      </c>
      <c r="G85" s="42" t="str">
        <f>IF('API Screen DB Mapping'!G88="","",'API Screen DB Mapping'!G88)</f>
        <v>List&lt;FinancialGoalProgressResponseDto&gt;</v>
      </c>
      <c r="H85" s="42" t="str">
        <f>IF('API Screen DB Mapping'!H88="","",'API Screen DB Mapping'!H88)</f>
        <v>FinancialGoal, GoalAllocation, LedgerEntry</v>
      </c>
      <c r="I85" s="42" t="str">
        <f>IF('API Screen DB Mapping'!I88="","",'API Screen DB Mapping'!I88)</f>
        <v/>
      </c>
      <c r="J85" s="42" t="str">
        <f>IF('API Screen DB Mapping'!J88="","",'API Screen DB Mapping'!J88)</f>
        <v/>
      </c>
      <c r="K85" s="42" t="str">
        <f>IF('API Screen DB Mapping'!K88="","",SWITCH('API Screen DB Mapping'!K88,"Not Started","Chưa bắt đầu","In Progress","Đang làm","Done","Hoàn thành",'API Screen DB Mapping'!K88))</f>
        <v>Chưa bắt đầu</v>
      </c>
      <c r="L85" s="42" t="str">
        <f>IFERROR(__xludf.DUMMYFUNCTION("IF('API Screen DB Mapping'!L88="""","""",IFERROR(GOOGLETRANSLATE('API Screen DB Mapping'!L88,""en"",""vi""),'API Screen DB Mapping'!L88))"),"Tiến độ được tính toán dựa trên hồ sơ nội bộ, không phải số dư ngân hàng.")</f>
        <v>Tiến độ được tính toán dựa trên hồ sơ nội bộ, không phải số dư ngân hàng.</v>
      </c>
    </row>
    <row r="86">
      <c r="A86" s="42" t="str">
        <f>IF('API Screen DB Mapping'!A89="","",'API Screen DB Mapping'!A89)</f>
        <v>UC89</v>
      </c>
      <c r="B86" s="42" t="str">
        <f>IFERROR(__xludf.DUMMYFUNCTION("IF('API Screen DB Mapping'!B89="""","""",IFERROR(GOOGLETRANSLATE('API Screen DB Mapping'!B89,""en"",""vi""),'API Screen DB Mapping'!B89))"),"Xem cảnh báo rủi ro về ngân sách và mục tiêu")</f>
        <v>Xem cảnh báo rủi ro về ngân sách và mục tiêu</v>
      </c>
      <c r="C86" s="42" t="str">
        <f>IFERROR(__xludf.DUMMYFUNCTION("IF('API Screen DB Mapping'!C89="""","""",IFERROR(GOOGLETRANSLATE('API Screen DB Mapping'!C89,""en"",""vi""),'API Screen DB Mapping'!C89))"),"Flutter Mobile")</f>
        <v>Flutter Mobile</v>
      </c>
      <c r="D86" s="42" t="str">
        <f>IF('API Screen DB Mapping'!D89="","",'API Screen DB Mapping'!D89)</f>
        <v>/api/finance/budget-alerts</v>
      </c>
      <c r="E86" s="42" t="str">
        <f>IF('API Screen DB Mapping'!E89="","",'API Screen DB Mapping'!E89)</f>
        <v>GET</v>
      </c>
      <c r="F86" s="42" t="str">
        <f>IF('API Screen DB Mapping'!F89="","",'API Screen DB Mapping'!F89)</f>
        <v>BudgetAlertQueryDto</v>
      </c>
      <c r="G86" s="42" t="str">
        <f>IF('API Screen DB Mapping'!G89="","",'API Screen DB Mapping'!G89)</f>
        <v>List&lt;BudgetAlertResponseDto&gt;</v>
      </c>
      <c r="H86" s="42" t="str">
        <f>IF('API Screen DB Mapping'!H89="","",'API Screen DB Mapping'!H89)</f>
        <v>BudgetAlert, BudgetPlan, FinancialGoal, FinanceJar, FinanceCategory</v>
      </c>
      <c r="I86" s="42" t="str">
        <f>IF('API Screen DB Mapping'!I89="","",'API Screen DB Mapping'!I89)</f>
        <v/>
      </c>
      <c r="J86" s="42" t="str">
        <f>IF('API Screen DB Mapping'!J89="","",'API Screen DB Mapping'!J89)</f>
        <v/>
      </c>
      <c r="K86" s="42" t="str">
        <f>IF('API Screen DB Mapping'!K89="","",SWITCH('API Screen DB Mapping'!K89,"Not Started","Chưa bắt đầu","In Progress","Đang làm","Done","Hoàn thành",'API Screen DB Mapping'!K89))</f>
        <v>Chưa bắt đầu</v>
      </c>
      <c r="L86" s="42" t="str">
        <f>IFERROR(__xludf.DUMMYFUNCTION("IF('API Screen DB Mapping'!L89="""","""",IFERROR(GOOGLETRANSLATE('API Screen DB Mapping'!L89,""en"",""vi""),'API Screen DB Mapping'!L89))"),"Hiển thị cảnh báo về chi tiêu vượt ngân sách, chi tiêu không cần thiết và mục tiêu có nguy cơ bị đạt được.")</f>
        <v>Hiển thị cảnh báo về chi tiêu vượt ngân sách, chi tiêu không cần thiết và mục tiêu có nguy cơ bị đạt được.</v>
      </c>
    </row>
    <row r="87">
      <c r="A87" s="42" t="str">
        <f>IF('API Screen DB Mapping'!A90="","",'API Screen DB Mapping'!A90)</f>
        <v>UC90</v>
      </c>
      <c r="B87" s="42" t="str">
        <f>IFERROR(__xludf.DUMMYFUNCTION("IF('API Screen DB Mapping'!B90="""","""",IFERROR(GOOGLETRANSLATE('API Screen DB Mapping'!B90,""en"",""vi""),'API Screen DB Mapping'!B90))"),"Phân bổ phần thưởng nhiệm vụ vào quỹ tiết kiệm/quỹ mục tiêu.")</f>
        <v>Phân bổ phần thưởng nhiệm vụ vào quỹ tiết kiệm/quỹ mục tiêu.</v>
      </c>
      <c r="C87" s="42" t="str">
        <f>IFERROR(__xludf.DUMMYFUNCTION("IF('API Screen DB Mapping'!C90="""","""",IFERROR(GOOGLETRANSLATE('API Screen DB Mapping'!C90,""en"",""vi""),'API Screen DB Mapping'!C90))"),"Flutter Mobile")</f>
        <v>Flutter Mobile</v>
      </c>
      <c r="D87" s="42" t="str">
        <f>IF('API Screen DB Mapping'!D90="","",'API Screen DB Mapping'!D90)</f>
        <v>/api/rewards/settlements/{id}/allocations</v>
      </c>
      <c r="E87" s="42" t="str">
        <f>IF('API Screen DB Mapping'!E90="","",'API Screen DB Mapping'!E90)</f>
        <v>POST</v>
      </c>
      <c r="F87" s="42" t="str">
        <f>IF('API Screen DB Mapping'!F90="","",'API Screen DB Mapping'!F90)</f>
        <v>CreateRewardAllocationDto</v>
      </c>
      <c r="G87" s="42" t="str">
        <f>IF('API Screen DB Mapping'!G90="","",'API Screen DB Mapping'!G90)</f>
        <v>RewardAllocationResponseDto</v>
      </c>
      <c r="H87" s="42" t="str">
        <f>IF('API Screen DB Mapping'!H90="","",'API Screen DB Mapping'!H90)</f>
        <v>RewardAllocation, RewardSettlement, FinanceJar, FinancialGoal, LedgerEntry</v>
      </c>
      <c r="I87" s="42" t="str">
        <f>IF('API Screen DB Mapping'!I90="","",'API Screen DB Mapping'!I90)</f>
        <v/>
      </c>
      <c r="J87" s="42" t="str">
        <f>IF('API Screen DB Mapping'!J90="","",'API Screen DB Mapping'!J90)</f>
        <v/>
      </c>
      <c r="K87" s="42" t="str">
        <f>IF('API Screen DB Mapping'!K90="","",SWITCH('API Screen DB Mapping'!K90,"Not Started","Chưa bắt đầu","In Progress","Đang làm","Done","Hoàn thành",'API Screen DB Mapping'!K90))</f>
        <v>Chưa bắt đầu</v>
      </c>
      <c r="L87" s="42" t="str">
        <f>IFERROR(__xludf.DUMMYFUNCTION("IF('API Screen DB Mapping'!L90="""","""",IFERROR(GOOGLETRANSLATE('API Screen DB Mapping'!L90,""en"",""vi""),'API Screen DB Mapping'!L90))"),"Phần thưởng sẽ được phân bổ sau khi thành viên xác nhận đã nhận.")</f>
        <v>Phần thưởng sẽ được phân bổ sau khi thành viên xác nhận đã nhận.</v>
      </c>
    </row>
    <row r="88">
      <c r="A88" s="42" t="str">
        <f>IF('API Screen DB Mapping'!A91="","",'API Screen DB Mapping'!A91)</f>
        <v>UC91</v>
      </c>
      <c r="B88" s="42" t="str">
        <f>IFERROR(__xludf.DUMMYFUNCTION("IF('API Screen DB Mapping'!B91="""","""",IFERROR(GOOGLETRANSLATE('API Screen DB Mapping'!B91,""en"",""vi""),'API Screen DB Mapping'!B91))"),"Đề xuất danh mục giao dịch bằng AI/OCR")</f>
        <v>Đề xuất danh mục giao dịch bằng AI/OCR</v>
      </c>
      <c r="C88" s="42" t="str">
        <f>IFERROR(__xludf.DUMMYFUNCTION("IF('API Screen DB Mapping'!C91="""","""",IFERROR(GOOGLETRANSLATE('API Screen DB Mapping'!C91,""en"",""vi""),'API Screen DB Mapping'!C91))"),"Flutter Mobile")</f>
        <v>Flutter Mobile</v>
      </c>
      <c r="D88" s="42" t="str">
        <f>IF('API Screen DB Mapping'!D91="","",'API Screen DB Mapping'!D91)</f>
        <v>/api/ai-assistant/transaction-category-suggestion</v>
      </c>
      <c r="E88" s="42" t="str">
        <f>IF('API Screen DB Mapping'!E91="","",'API Screen DB Mapping'!E91)</f>
        <v>POST</v>
      </c>
      <c r="F88" s="42" t="str">
        <f>IF('API Screen DB Mapping'!F91="","",'API Screen DB Mapping'!F91)</f>
        <v>TransactionCategorySuggestionRequestDto</v>
      </c>
      <c r="G88" s="42" t="str">
        <f>IF('API Screen DB Mapping'!G91="","",'API Screen DB Mapping'!G91)</f>
        <v>TransactionCategorySuggestionResponseDto</v>
      </c>
      <c r="H88" s="42" t="str">
        <f>IF('API Screen DB Mapping'!H91="","",'API Screen DB Mapping'!H91)</f>
        <v>AIMessage, LedgerEntry, FinanceCategory, FinanceJar</v>
      </c>
      <c r="I88" s="42" t="str">
        <f>IF('API Screen DB Mapping'!I91="","",'API Screen DB Mapping'!I91)</f>
        <v/>
      </c>
      <c r="J88" s="42" t="str">
        <f>IF('API Screen DB Mapping'!J91="","",'API Screen DB Mapping'!J91)</f>
        <v/>
      </c>
      <c r="K88" s="42" t="str">
        <f>IF('API Screen DB Mapping'!K91="","",SWITCH('API Screen DB Mapping'!K91,"Not Started","Chưa bắt đầu","In Progress","Đang làm","Done","Hoàn thành",'API Screen DB Mapping'!K91))</f>
        <v>Chưa bắt đầu</v>
      </c>
      <c r="L88" s="42" t="str">
        <f>IFERROR(__xludf.DUMMYFUNCTION("IF('API Screen DB Mapping'!L91="""","""",IFERROR(GOOGLETRANSLATE('API Screen DB Mapping'!L91,""en"",""vi""),'API Screen DB Mapping'!L91))"),"Có thể/Sẽ được hỗ trợ trong tương lai; người dùng phải xác nhận bản ghi cuối cùng.")</f>
        <v>Có thể/Sẽ được hỗ trợ trong tương lai; người dùng phải xác nhận bản ghi cuối cùng.</v>
      </c>
    </row>
    <row r="89">
      <c r="A89" s="42" t="str">
        <f>IF('API Screen DB Mapping'!A92="","",'API Screen DB Mapping'!A92)</f>
        <v/>
      </c>
      <c r="B89" s="42" t="str">
        <f>IFERROR(__xludf.DUMMYFUNCTION("IF('API Screen DB Mapping'!B92="""","""",IFERROR(GOOGLETRANSLATE('API Screen DB Mapping'!B92,""en"",""vi""),'API Screen DB Mapping'!B92))"),"")</f>
        <v/>
      </c>
      <c r="C89" s="42" t="str">
        <f>IFERROR(__xludf.DUMMYFUNCTION("IF('API Screen DB Mapping'!C92="""","""",IFERROR(GOOGLETRANSLATE('API Screen DB Mapping'!C92,""en"",""vi""),'API Screen DB Mapping'!C92))"),"")</f>
        <v/>
      </c>
      <c r="D89" s="42" t="str">
        <f>IF('API Screen DB Mapping'!D92="","",'API Screen DB Mapping'!D92)</f>
        <v/>
      </c>
      <c r="E89" s="42" t="str">
        <f>IF('API Screen DB Mapping'!E92="","",'API Screen DB Mapping'!E92)</f>
        <v/>
      </c>
      <c r="F89" s="42" t="str">
        <f>IF('API Screen DB Mapping'!F92="","",'API Screen DB Mapping'!F92)</f>
        <v/>
      </c>
      <c r="G89" s="42" t="str">
        <f>IF('API Screen DB Mapping'!G92="","",'API Screen DB Mapping'!G92)</f>
        <v/>
      </c>
      <c r="H89" s="42" t="str">
        <f>IF('API Screen DB Mapping'!H92="","",'API Screen DB Mapping'!H92)</f>
        <v/>
      </c>
      <c r="I89" s="42" t="str">
        <f>IF('API Screen DB Mapping'!I92="","",'API Screen DB Mapping'!I92)</f>
        <v/>
      </c>
      <c r="J89" s="42" t="str">
        <f>IF('API Screen DB Mapping'!J92="","",'API Screen DB Mapping'!J92)</f>
        <v/>
      </c>
      <c r="K89" s="42" t="str">
        <f>IF('API Screen DB Mapping'!K92="","",SWITCH('API Screen DB Mapping'!K92,"Not Started","Chưa bắt đầu","In Progress","Đang làm","Done","Hoàn thành",'API Screen DB Mapping'!K92))</f>
        <v/>
      </c>
      <c r="L89" s="42" t="str">
        <f>IFERROR(__xludf.DUMMYFUNCTION("IF('API Screen DB Mapping'!L92="""","""",IFERROR(GOOGLETRANSLATE('API Screen DB Mapping'!L92,""en"",""vi""),'API Screen DB Mapping'!L92))"),"")</f>
        <v/>
      </c>
    </row>
    <row r="90">
      <c r="A90" s="42" t="str">
        <f>IF('API Screen DB Mapping'!A93="","",'API Screen DB Mapping'!A93)</f>
        <v/>
      </c>
      <c r="B90" s="42" t="str">
        <f>IFERROR(__xludf.DUMMYFUNCTION("IF('API Screen DB Mapping'!B93="""","""",IFERROR(GOOGLETRANSLATE('API Screen DB Mapping'!B93,""en"",""vi""),'API Screen DB Mapping'!B93))"),"")</f>
        <v/>
      </c>
      <c r="C90" s="42" t="str">
        <f>IFERROR(__xludf.DUMMYFUNCTION("IF('API Screen DB Mapping'!C93="""","""",IFERROR(GOOGLETRANSLATE('API Screen DB Mapping'!C93,""en"",""vi""),'API Screen DB Mapping'!C93))"),"")</f>
        <v/>
      </c>
      <c r="D90" s="42" t="str">
        <f>IF('API Screen DB Mapping'!D93="","",'API Screen DB Mapping'!D93)</f>
        <v/>
      </c>
      <c r="E90" s="42" t="str">
        <f>IF('API Screen DB Mapping'!E93="","",'API Screen DB Mapping'!E93)</f>
        <v/>
      </c>
      <c r="F90" s="42" t="str">
        <f>IF('API Screen DB Mapping'!F93="","",'API Screen DB Mapping'!F93)</f>
        <v/>
      </c>
      <c r="G90" s="42" t="str">
        <f>IF('API Screen DB Mapping'!G93="","",'API Screen DB Mapping'!G93)</f>
        <v/>
      </c>
      <c r="H90" s="42" t="str">
        <f>IF('API Screen DB Mapping'!H93="","",'API Screen DB Mapping'!H93)</f>
        <v/>
      </c>
      <c r="I90" s="42" t="str">
        <f>IF('API Screen DB Mapping'!I93="","",'API Screen DB Mapping'!I93)</f>
        <v/>
      </c>
      <c r="J90" s="42" t="str">
        <f>IF('API Screen DB Mapping'!J93="","",'API Screen DB Mapping'!J93)</f>
        <v/>
      </c>
      <c r="K90" s="42" t="str">
        <f>IF('API Screen DB Mapping'!K93="","",SWITCH('API Screen DB Mapping'!K93,"Not Started","Chưa bắt đầu","In Progress","Đang làm","Done","Hoàn thành",'API Screen DB Mapping'!K93))</f>
        <v/>
      </c>
      <c r="L90" s="42" t="str">
        <f>IFERROR(__xludf.DUMMYFUNCTION("IF('API Screen DB Mapping'!L93="""","""",IFERROR(GOOGLETRANSLATE('API Screen DB Mapping'!L93,""en"",""vi""),'API Screen DB Mapping'!L93))"),"")</f>
        <v/>
      </c>
    </row>
    <row r="91">
      <c r="A91" s="42" t="str">
        <f>IF('API Screen DB Mapping'!A94="","",'API Screen DB Mapping'!A94)</f>
        <v/>
      </c>
      <c r="B91" s="42" t="str">
        <f>IFERROR(__xludf.DUMMYFUNCTION("IF('API Screen DB Mapping'!B94="""","""",IFERROR(GOOGLETRANSLATE('API Screen DB Mapping'!B94,""en"",""vi""),'API Screen DB Mapping'!B94))"),"")</f>
        <v/>
      </c>
      <c r="C91" s="42" t="str">
        <f>IFERROR(__xludf.DUMMYFUNCTION("IF('API Screen DB Mapping'!C94="""","""",IFERROR(GOOGLETRANSLATE('API Screen DB Mapping'!C94,""en"",""vi""),'API Screen DB Mapping'!C94))"),"")</f>
        <v/>
      </c>
      <c r="D91" s="42" t="str">
        <f>IF('API Screen DB Mapping'!D94="","",'API Screen DB Mapping'!D94)</f>
        <v/>
      </c>
      <c r="E91" s="42" t="str">
        <f>IF('API Screen DB Mapping'!E94="","",'API Screen DB Mapping'!E94)</f>
        <v/>
      </c>
      <c r="F91" s="42" t="str">
        <f>IF('API Screen DB Mapping'!F94="","",'API Screen DB Mapping'!F94)</f>
        <v/>
      </c>
      <c r="G91" s="42" t="str">
        <f>IF('API Screen DB Mapping'!G94="","",'API Screen DB Mapping'!G94)</f>
        <v/>
      </c>
      <c r="H91" s="42" t="str">
        <f>IF('API Screen DB Mapping'!H94="","",'API Screen DB Mapping'!H94)</f>
        <v/>
      </c>
      <c r="I91" s="42" t="str">
        <f>IF('API Screen DB Mapping'!I94="","",'API Screen DB Mapping'!I94)</f>
        <v/>
      </c>
      <c r="J91" s="42" t="str">
        <f>IF('API Screen DB Mapping'!J94="","",'API Screen DB Mapping'!J94)</f>
        <v/>
      </c>
      <c r="K91" s="42" t="str">
        <f>IF('API Screen DB Mapping'!K94="","",SWITCH('API Screen DB Mapping'!K94,"Not Started","Chưa bắt đầu","In Progress","Đang làm","Done","Hoàn thành",'API Screen DB Mapping'!K94))</f>
        <v/>
      </c>
      <c r="L91" s="42" t="str">
        <f>IFERROR(__xludf.DUMMYFUNCTION("IF('API Screen DB Mapping'!L94="""","""",IFERROR(GOOGLETRANSLATE('API Screen DB Mapping'!L94,""en"",""vi""),'API Screen DB Mapping'!L94))"),"")</f>
        <v/>
      </c>
    </row>
    <row r="92">
      <c r="A92" s="42" t="str">
        <f>IF('API Screen DB Mapping'!A95="","",'API Screen DB Mapping'!A95)</f>
        <v/>
      </c>
      <c r="B92" s="42" t="str">
        <f>IFERROR(__xludf.DUMMYFUNCTION("IF('API Screen DB Mapping'!B95="""","""",IFERROR(GOOGLETRANSLATE('API Screen DB Mapping'!B95,""en"",""vi""),'API Screen DB Mapping'!B95))"),"")</f>
        <v/>
      </c>
      <c r="C92" s="42" t="str">
        <f>IFERROR(__xludf.DUMMYFUNCTION("IF('API Screen DB Mapping'!C95="""","""",IFERROR(GOOGLETRANSLATE('API Screen DB Mapping'!C95,""en"",""vi""),'API Screen DB Mapping'!C95))"),"")</f>
        <v/>
      </c>
      <c r="D92" s="42" t="str">
        <f>IF('API Screen DB Mapping'!D95="","",'API Screen DB Mapping'!D95)</f>
        <v/>
      </c>
      <c r="E92" s="42" t="str">
        <f>IF('API Screen DB Mapping'!E95="","",'API Screen DB Mapping'!E95)</f>
        <v/>
      </c>
      <c r="F92" s="42" t="str">
        <f>IF('API Screen DB Mapping'!F95="","",'API Screen DB Mapping'!F95)</f>
        <v/>
      </c>
      <c r="G92" s="42" t="str">
        <f>IF('API Screen DB Mapping'!G95="","",'API Screen DB Mapping'!G95)</f>
        <v/>
      </c>
      <c r="H92" s="42" t="str">
        <f>IF('API Screen DB Mapping'!H95="","",'API Screen DB Mapping'!H95)</f>
        <v/>
      </c>
      <c r="I92" s="42" t="str">
        <f>IF('API Screen DB Mapping'!I95="","",'API Screen DB Mapping'!I95)</f>
        <v/>
      </c>
      <c r="J92" s="42" t="str">
        <f>IF('API Screen DB Mapping'!J95="","",'API Screen DB Mapping'!J95)</f>
        <v/>
      </c>
      <c r="K92" s="42" t="str">
        <f>IF('API Screen DB Mapping'!K95="","",SWITCH('API Screen DB Mapping'!K95,"Not Started","Chưa bắt đầu","In Progress","Đang làm","Done","Hoàn thành",'API Screen DB Mapping'!K95))</f>
        <v/>
      </c>
      <c r="L92" s="42" t="str">
        <f>IFERROR(__xludf.DUMMYFUNCTION("IF('API Screen DB Mapping'!L95="""","""",IFERROR(GOOGLETRANSLATE('API Screen DB Mapping'!L95,""en"",""vi""),'API Screen DB Mapping'!L95))"),"")</f>
        <v/>
      </c>
    </row>
    <row r="93">
      <c r="A93" s="42" t="str">
        <f>IF('API Screen DB Mapping'!A96="","",'API Screen DB Mapping'!A96)</f>
        <v/>
      </c>
      <c r="B93" s="42" t="str">
        <f>IFERROR(__xludf.DUMMYFUNCTION("IF('API Screen DB Mapping'!B96="""","""",IFERROR(GOOGLETRANSLATE('API Screen DB Mapping'!B96,""en"",""vi""),'API Screen DB Mapping'!B96))"),"")</f>
        <v/>
      </c>
      <c r="C93" s="42" t="str">
        <f>IFERROR(__xludf.DUMMYFUNCTION("IF('API Screen DB Mapping'!C96="""","""",IFERROR(GOOGLETRANSLATE('API Screen DB Mapping'!C96,""en"",""vi""),'API Screen DB Mapping'!C96))"),"")</f>
        <v/>
      </c>
      <c r="D93" s="42" t="str">
        <f>IF('API Screen DB Mapping'!D96="","",'API Screen DB Mapping'!D96)</f>
        <v/>
      </c>
      <c r="E93" s="42" t="str">
        <f>IF('API Screen DB Mapping'!E96="","",'API Screen DB Mapping'!E96)</f>
        <v/>
      </c>
      <c r="F93" s="42" t="str">
        <f>IF('API Screen DB Mapping'!F96="","",'API Screen DB Mapping'!F96)</f>
        <v/>
      </c>
      <c r="G93" s="42" t="str">
        <f>IF('API Screen DB Mapping'!G96="","",'API Screen DB Mapping'!G96)</f>
        <v/>
      </c>
      <c r="H93" s="42" t="str">
        <f>IF('API Screen DB Mapping'!H96="","",'API Screen DB Mapping'!H96)</f>
        <v/>
      </c>
      <c r="I93" s="42" t="str">
        <f>IF('API Screen DB Mapping'!I96="","",'API Screen DB Mapping'!I96)</f>
        <v/>
      </c>
      <c r="J93" s="42" t="str">
        <f>IF('API Screen DB Mapping'!J96="","",'API Screen DB Mapping'!J96)</f>
        <v/>
      </c>
      <c r="K93" s="42" t="str">
        <f>IF('API Screen DB Mapping'!K96="","",SWITCH('API Screen DB Mapping'!K96,"Not Started","Chưa bắt đầu","In Progress","Đang làm","Done","Hoàn thành",'API Screen DB Mapping'!K96))</f>
        <v/>
      </c>
      <c r="L93" s="42" t="str">
        <f>IFERROR(__xludf.DUMMYFUNCTION("IF('API Screen DB Mapping'!L96="""","""",IFERROR(GOOGLETRANSLATE('API Screen DB Mapping'!L96,""en"",""vi""),'API Screen DB Mapping'!L96))"),"")</f>
        <v/>
      </c>
    </row>
    <row r="94">
      <c r="A94" s="42" t="str">
        <f>IF('API Screen DB Mapping'!A97="","",'API Screen DB Mapping'!A97)</f>
        <v/>
      </c>
      <c r="B94" s="42" t="str">
        <f>IFERROR(__xludf.DUMMYFUNCTION("IF('API Screen DB Mapping'!B97="""","""",IFERROR(GOOGLETRANSLATE('API Screen DB Mapping'!B97,""en"",""vi""),'API Screen DB Mapping'!B97))"),"")</f>
        <v/>
      </c>
      <c r="C94" s="42" t="str">
        <f>IFERROR(__xludf.DUMMYFUNCTION("IF('API Screen DB Mapping'!C97="""","""",IFERROR(GOOGLETRANSLATE('API Screen DB Mapping'!C97,""en"",""vi""),'API Screen DB Mapping'!C97))"),"")</f>
        <v/>
      </c>
      <c r="D94" s="42" t="str">
        <f>IF('API Screen DB Mapping'!D97="","",'API Screen DB Mapping'!D97)</f>
        <v/>
      </c>
      <c r="E94" s="42" t="str">
        <f>IF('API Screen DB Mapping'!E97="","",'API Screen DB Mapping'!E97)</f>
        <v/>
      </c>
      <c r="F94" s="42" t="str">
        <f>IF('API Screen DB Mapping'!F97="","",'API Screen DB Mapping'!F97)</f>
        <v/>
      </c>
      <c r="G94" s="42" t="str">
        <f>IF('API Screen DB Mapping'!G97="","",'API Screen DB Mapping'!G97)</f>
        <v/>
      </c>
      <c r="H94" s="42" t="str">
        <f>IF('API Screen DB Mapping'!H97="","",'API Screen DB Mapping'!H97)</f>
        <v/>
      </c>
      <c r="I94" s="42" t="str">
        <f>IF('API Screen DB Mapping'!I97="","",'API Screen DB Mapping'!I97)</f>
        <v/>
      </c>
      <c r="J94" s="42" t="str">
        <f>IF('API Screen DB Mapping'!J97="","",'API Screen DB Mapping'!J97)</f>
        <v/>
      </c>
      <c r="K94" s="42" t="str">
        <f>IF('API Screen DB Mapping'!K97="","",SWITCH('API Screen DB Mapping'!K97,"Not Started","Chưa bắt đầu","In Progress","Đang làm","Done","Hoàn thành",'API Screen DB Mapping'!K97))</f>
        <v/>
      </c>
      <c r="L94" s="42" t="str">
        <f>IFERROR(__xludf.DUMMYFUNCTION("IF('API Screen DB Mapping'!L97="""","""",IFERROR(GOOGLETRANSLATE('API Screen DB Mapping'!L97,""en"",""vi""),'API Screen DB Mapping'!L97))"),"")</f>
        <v/>
      </c>
    </row>
    <row r="95">
      <c r="A95" s="42" t="str">
        <f>IF('API Screen DB Mapping'!A98="","",'API Screen DB Mapping'!A98)</f>
        <v/>
      </c>
      <c r="B95" s="42" t="str">
        <f>IFERROR(__xludf.DUMMYFUNCTION("IF('API Screen DB Mapping'!B98="""","""",IFERROR(GOOGLETRANSLATE('API Screen DB Mapping'!B98,""en"",""vi""),'API Screen DB Mapping'!B98))"),"")</f>
        <v/>
      </c>
      <c r="C95" s="42" t="str">
        <f>IFERROR(__xludf.DUMMYFUNCTION("IF('API Screen DB Mapping'!C98="""","""",IFERROR(GOOGLETRANSLATE('API Screen DB Mapping'!C98,""en"",""vi""),'API Screen DB Mapping'!C98))"),"")</f>
        <v/>
      </c>
      <c r="D95" s="42" t="str">
        <f>IF('API Screen DB Mapping'!D98="","",'API Screen DB Mapping'!D98)</f>
        <v/>
      </c>
      <c r="E95" s="42" t="str">
        <f>IF('API Screen DB Mapping'!E98="","",'API Screen DB Mapping'!E98)</f>
        <v/>
      </c>
      <c r="F95" s="42" t="str">
        <f>IF('API Screen DB Mapping'!F98="","",'API Screen DB Mapping'!F98)</f>
        <v/>
      </c>
      <c r="G95" s="42" t="str">
        <f>IF('API Screen DB Mapping'!G98="","",'API Screen DB Mapping'!G98)</f>
        <v/>
      </c>
      <c r="H95" s="42" t="str">
        <f>IF('API Screen DB Mapping'!H98="","",'API Screen DB Mapping'!H98)</f>
        <v/>
      </c>
      <c r="I95" s="42" t="str">
        <f>IF('API Screen DB Mapping'!I98="","",'API Screen DB Mapping'!I98)</f>
        <v/>
      </c>
      <c r="J95" s="42" t="str">
        <f>IF('API Screen DB Mapping'!J98="","",'API Screen DB Mapping'!J98)</f>
        <v/>
      </c>
      <c r="K95" s="42" t="str">
        <f>IF('API Screen DB Mapping'!K98="","",SWITCH('API Screen DB Mapping'!K98,"Not Started","Chưa bắt đầu","In Progress","Đang làm","Done","Hoàn thành",'API Screen DB Mapping'!K98))</f>
        <v/>
      </c>
      <c r="L95" s="42" t="str">
        <f>IFERROR(__xludf.DUMMYFUNCTION("IF('API Screen DB Mapping'!L98="""","""",IFERROR(GOOGLETRANSLATE('API Screen DB Mapping'!L98,""en"",""vi""),'API Screen DB Mapping'!L98))"),"")</f>
        <v/>
      </c>
    </row>
    <row r="96">
      <c r="A96" s="42" t="str">
        <f>IF('API Screen DB Mapping'!A99="","",'API Screen DB Mapping'!A99)</f>
        <v/>
      </c>
      <c r="B96" s="42" t="str">
        <f>IFERROR(__xludf.DUMMYFUNCTION("IF('API Screen DB Mapping'!B99="""","""",IFERROR(GOOGLETRANSLATE('API Screen DB Mapping'!B99,""en"",""vi""),'API Screen DB Mapping'!B99))"),"")</f>
        <v/>
      </c>
      <c r="C96" s="42" t="str">
        <f>IFERROR(__xludf.DUMMYFUNCTION("IF('API Screen DB Mapping'!C99="""","""",IFERROR(GOOGLETRANSLATE('API Screen DB Mapping'!C99,""en"",""vi""),'API Screen DB Mapping'!C99))"),"")</f>
        <v/>
      </c>
      <c r="D96" s="42" t="str">
        <f>IF('API Screen DB Mapping'!D99="","",'API Screen DB Mapping'!D99)</f>
        <v/>
      </c>
      <c r="E96" s="42" t="str">
        <f>IF('API Screen DB Mapping'!E99="","",'API Screen DB Mapping'!E99)</f>
        <v/>
      </c>
      <c r="F96" s="42" t="str">
        <f>IF('API Screen DB Mapping'!F99="","",'API Screen DB Mapping'!F99)</f>
        <v/>
      </c>
      <c r="G96" s="42" t="str">
        <f>IF('API Screen DB Mapping'!G99="","",'API Screen DB Mapping'!G99)</f>
        <v/>
      </c>
      <c r="H96" s="42" t="str">
        <f>IF('API Screen DB Mapping'!H99="","",'API Screen DB Mapping'!H99)</f>
        <v/>
      </c>
      <c r="I96" s="42" t="str">
        <f>IF('API Screen DB Mapping'!I99="","",'API Screen DB Mapping'!I99)</f>
        <v/>
      </c>
      <c r="J96" s="42" t="str">
        <f>IF('API Screen DB Mapping'!J99="","",'API Screen DB Mapping'!J99)</f>
        <v/>
      </c>
      <c r="K96" s="42" t="str">
        <f>IF('API Screen DB Mapping'!K99="","",SWITCH('API Screen DB Mapping'!K99,"Not Started","Chưa bắt đầu","In Progress","Đang làm","Done","Hoàn thành",'API Screen DB Mapping'!K99))</f>
        <v/>
      </c>
      <c r="L96" s="42" t="str">
        <f>IFERROR(__xludf.DUMMYFUNCTION("IF('API Screen DB Mapping'!L99="""","""",IFERROR(GOOGLETRANSLATE('API Screen DB Mapping'!L99,""en"",""vi""),'API Screen DB Mapping'!L99))"),"")</f>
        <v/>
      </c>
    </row>
    <row r="97">
      <c r="A97" s="42" t="str">
        <f>IF('API Screen DB Mapping'!A100="","",'API Screen DB Mapping'!A100)</f>
        <v/>
      </c>
      <c r="B97" s="42" t="str">
        <f>IFERROR(__xludf.DUMMYFUNCTION("IF('API Screen DB Mapping'!B100="""","""",IFERROR(GOOGLETRANSLATE('API Screen DB Mapping'!B100,""en"",""vi""),'API Screen DB Mapping'!B100))"),"")</f>
        <v/>
      </c>
      <c r="C97" s="42" t="str">
        <f>IFERROR(__xludf.DUMMYFUNCTION("IF('API Screen DB Mapping'!C100="""","""",IFERROR(GOOGLETRANSLATE('API Screen DB Mapping'!C100,""en"",""vi""),'API Screen DB Mapping'!C100))"),"")</f>
        <v/>
      </c>
      <c r="D97" s="42" t="str">
        <f>IF('API Screen DB Mapping'!D100="","",'API Screen DB Mapping'!D100)</f>
        <v/>
      </c>
      <c r="E97" s="42" t="str">
        <f>IF('API Screen DB Mapping'!E100="","",'API Screen DB Mapping'!E100)</f>
        <v/>
      </c>
      <c r="F97" s="42" t="str">
        <f>IF('API Screen DB Mapping'!F100="","",'API Screen DB Mapping'!F100)</f>
        <v/>
      </c>
      <c r="G97" s="42" t="str">
        <f>IF('API Screen DB Mapping'!G100="","",'API Screen DB Mapping'!G100)</f>
        <v/>
      </c>
      <c r="H97" s="42" t="str">
        <f>IF('API Screen DB Mapping'!H100="","",'API Screen DB Mapping'!H100)</f>
        <v/>
      </c>
      <c r="I97" s="42" t="str">
        <f>IF('API Screen DB Mapping'!I100="","",'API Screen DB Mapping'!I100)</f>
        <v/>
      </c>
      <c r="J97" s="42" t="str">
        <f>IF('API Screen DB Mapping'!J100="","",'API Screen DB Mapping'!J100)</f>
        <v/>
      </c>
      <c r="K97" s="42" t="str">
        <f>IF('API Screen DB Mapping'!K100="","",SWITCH('API Screen DB Mapping'!K100,"Not Started","Chưa bắt đầu","In Progress","Đang làm","Done","Hoàn thành",'API Screen DB Mapping'!K100))</f>
        <v/>
      </c>
      <c r="L97" s="42" t="str">
        <f>IFERROR(__xludf.DUMMYFUNCTION("IF('API Screen DB Mapping'!L100="""","""",IFERROR(GOOGLETRANSLATE('API Screen DB Mapping'!L100,""en"",""vi""),'API Screen DB Mapping'!L100))"),"")</f>
        <v/>
      </c>
    </row>
    <row r="98">
      <c r="A98" s="42" t="str">
        <f>IF('API Screen DB Mapping'!A101="","",'API Screen DB Mapping'!A101)</f>
        <v/>
      </c>
      <c r="B98" s="42" t="str">
        <f>IFERROR(__xludf.DUMMYFUNCTION("IF('API Screen DB Mapping'!B101="""","""",IFERROR(GOOGLETRANSLATE('API Screen DB Mapping'!B101,""en"",""vi""),'API Screen DB Mapping'!B101))"),"")</f>
        <v/>
      </c>
      <c r="C98" s="42" t="str">
        <f>IFERROR(__xludf.DUMMYFUNCTION("IF('API Screen DB Mapping'!C101="""","""",IFERROR(GOOGLETRANSLATE('API Screen DB Mapping'!C101,""en"",""vi""),'API Screen DB Mapping'!C101))"),"")</f>
        <v/>
      </c>
      <c r="D98" s="42" t="str">
        <f>IF('API Screen DB Mapping'!D101="","",'API Screen DB Mapping'!D101)</f>
        <v/>
      </c>
      <c r="E98" s="42" t="str">
        <f>IF('API Screen DB Mapping'!E101="","",'API Screen DB Mapping'!E101)</f>
        <v/>
      </c>
      <c r="F98" s="42" t="str">
        <f>IF('API Screen DB Mapping'!F101="","",'API Screen DB Mapping'!F101)</f>
        <v/>
      </c>
      <c r="G98" s="42" t="str">
        <f>IF('API Screen DB Mapping'!G101="","",'API Screen DB Mapping'!G101)</f>
        <v/>
      </c>
      <c r="H98" s="42" t="str">
        <f>IF('API Screen DB Mapping'!H101="","",'API Screen DB Mapping'!H101)</f>
        <v/>
      </c>
      <c r="I98" s="42" t="str">
        <f>IF('API Screen DB Mapping'!I101="","",'API Screen DB Mapping'!I101)</f>
        <v/>
      </c>
      <c r="J98" s="42" t="str">
        <f>IF('API Screen DB Mapping'!J101="","",'API Screen DB Mapping'!J101)</f>
        <v/>
      </c>
      <c r="K98" s="42" t="str">
        <f>IF('API Screen DB Mapping'!K101="","",SWITCH('API Screen DB Mapping'!K101,"Not Started","Chưa bắt đầu","In Progress","Đang làm","Done","Hoàn thành",'API Screen DB Mapping'!K101))</f>
        <v/>
      </c>
      <c r="L98" s="42" t="str">
        <f>IFERROR(__xludf.DUMMYFUNCTION("IF('API Screen DB Mapping'!L101="""","""",IFERROR(GOOGLETRANSLATE('API Screen DB Mapping'!L101,""en"",""vi""),'API Screen DB Mapping'!L101))"),"")</f>
        <v/>
      </c>
    </row>
    <row r="99">
      <c r="A99" s="42" t="str">
        <f>IF('API Screen DB Mapping'!A102="","",'API Screen DB Mapping'!A102)</f>
        <v/>
      </c>
      <c r="B99" s="42" t="str">
        <f>IFERROR(__xludf.DUMMYFUNCTION("IF('API Screen DB Mapping'!B102="""","""",IFERROR(GOOGLETRANSLATE('API Screen DB Mapping'!B102,""en"",""vi""),'API Screen DB Mapping'!B102))"),"")</f>
        <v/>
      </c>
      <c r="C99" s="42" t="str">
        <f>IFERROR(__xludf.DUMMYFUNCTION("IF('API Screen DB Mapping'!C102="""","""",IFERROR(GOOGLETRANSLATE('API Screen DB Mapping'!C102,""en"",""vi""),'API Screen DB Mapping'!C102))"),"")</f>
        <v/>
      </c>
      <c r="D99" s="42" t="str">
        <f>IF('API Screen DB Mapping'!D102="","",'API Screen DB Mapping'!D102)</f>
        <v/>
      </c>
      <c r="E99" s="42" t="str">
        <f>IF('API Screen DB Mapping'!E102="","",'API Screen DB Mapping'!E102)</f>
        <v/>
      </c>
      <c r="F99" s="42" t="str">
        <f>IF('API Screen DB Mapping'!F102="","",'API Screen DB Mapping'!F102)</f>
        <v/>
      </c>
      <c r="G99" s="42" t="str">
        <f>IF('API Screen DB Mapping'!G102="","",'API Screen DB Mapping'!G102)</f>
        <v/>
      </c>
      <c r="H99" s="42" t="str">
        <f>IF('API Screen DB Mapping'!H102="","",'API Screen DB Mapping'!H102)</f>
        <v/>
      </c>
      <c r="I99" s="42" t="str">
        <f>IF('API Screen DB Mapping'!I102="","",'API Screen DB Mapping'!I102)</f>
        <v/>
      </c>
      <c r="J99" s="42" t="str">
        <f>IF('API Screen DB Mapping'!J102="","",'API Screen DB Mapping'!J102)</f>
        <v/>
      </c>
      <c r="K99" s="42" t="str">
        <f>IF('API Screen DB Mapping'!K102="","",SWITCH('API Screen DB Mapping'!K102,"Not Started","Chưa bắt đầu","In Progress","Đang làm","Done","Hoàn thành",'API Screen DB Mapping'!K102))</f>
        <v/>
      </c>
      <c r="L99" s="42" t="str">
        <f>IFERROR(__xludf.DUMMYFUNCTION("IF('API Screen DB Mapping'!L102="""","""",IFERROR(GOOGLETRANSLATE('API Screen DB Mapping'!L102,""en"",""vi""),'API Screen DB Mapping'!L102))"),"")</f>
        <v/>
      </c>
    </row>
    <row r="100">
      <c r="A100" s="42" t="str">
        <f>IF('API Screen DB Mapping'!A103="","",'API Screen DB Mapping'!A103)</f>
        <v/>
      </c>
      <c r="B100" s="42" t="str">
        <f>IFERROR(__xludf.DUMMYFUNCTION("IF('API Screen DB Mapping'!B103="""","""",IFERROR(GOOGLETRANSLATE('API Screen DB Mapping'!B103,""en"",""vi""),'API Screen DB Mapping'!B103))"),"")</f>
        <v/>
      </c>
      <c r="C100" s="42" t="str">
        <f>IFERROR(__xludf.DUMMYFUNCTION("IF('API Screen DB Mapping'!C103="""","""",IFERROR(GOOGLETRANSLATE('API Screen DB Mapping'!C103,""en"",""vi""),'API Screen DB Mapping'!C103))"),"")</f>
        <v/>
      </c>
      <c r="D100" s="42" t="str">
        <f>IF('API Screen DB Mapping'!D103="","",'API Screen DB Mapping'!D103)</f>
        <v/>
      </c>
      <c r="E100" s="42" t="str">
        <f>IF('API Screen DB Mapping'!E103="","",'API Screen DB Mapping'!E103)</f>
        <v/>
      </c>
      <c r="F100" s="42" t="str">
        <f>IF('API Screen DB Mapping'!F103="","",'API Screen DB Mapping'!F103)</f>
        <v/>
      </c>
      <c r="G100" s="42" t="str">
        <f>IF('API Screen DB Mapping'!G103="","",'API Screen DB Mapping'!G103)</f>
        <v/>
      </c>
      <c r="H100" s="42" t="str">
        <f>IF('API Screen DB Mapping'!H103="","",'API Screen DB Mapping'!H103)</f>
        <v/>
      </c>
      <c r="I100" s="42" t="str">
        <f>IF('API Screen DB Mapping'!I103="","",'API Screen DB Mapping'!I103)</f>
        <v/>
      </c>
      <c r="J100" s="42" t="str">
        <f>IF('API Screen DB Mapping'!J103="","",'API Screen DB Mapping'!J103)</f>
        <v/>
      </c>
      <c r="K100" s="42" t="str">
        <f>IF('API Screen DB Mapping'!K103="","",SWITCH('API Screen DB Mapping'!K103,"Not Started","Chưa bắt đầu","In Progress","Đang làm","Done","Hoàn thành",'API Screen DB Mapping'!K103))</f>
        <v/>
      </c>
      <c r="L100" s="42" t="str">
        <f>IFERROR(__xludf.DUMMYFUNCTION("IF('API Screen DB Mapping'!L103="""","""",IFERROR(GOOGLETRANSLATE('API Screen DB Mapping'!L103,""en"",""vi""),'API Screen DB Mapping'!L103))"),"")</f>
        <v/>
      </c>
    </row>
    <row r="101">
      <c r="A101" s="42" t="str">
        <f>IF('API Screen DB Mapping'!A104="","",'API Screen DB Mapping'!A104)</f>
        <v/>
      </c>
      <c r="B101" s="42" t="str">
        <f>IFERROR(__xludf.DUMMYFUNCTION("IF('API Screen DB Mapping'!B104="""","""",IFERROR(GOOGLETRANSLATE('API Screen DB Mapping'!B104,""en"",""vi""),'API Screen DB Mapping'!B104))"),"")</f>
        <v/>
      </c>
      <c r="C101" s="42" t="str">
        <f>IFERROR(__xludf.DUMMYFUNCTION("IF('API Screen DB Mapping'!C104="""","""",IFERROR(GOOGLETRANSLATE('API Screen DB Mapping'!C104,""en"",""vi""),'API Screen DB Mapping'!C104))"),"")</f>
        <v/>
      </c>
      <c r="D101" s="42" t="str">
        <f>IF('API Screen DB Mapping'!D104="","",'API Screen DB Mapping'!D104)</f>
        <v/>
      </c>
      <c r="E101" s="42" t="str">
        <f>IF('API Screen DB Mapping'!E104="","",'API Screen DB Mapping'!E104)</f>
        <v/>
      </c>
      <c r="F101" s="42" t="str">
        <f>IF('API Screen DB Mapping'!F104="","",'API Screen DB Mapping'!F104)</f>
        <v/>
      </c>
      <c r="G101" s="42" t="str">
        <f>IF('API Screen DB Mapping'!G104="","",'API Screen DB Mapping'!G104)</f>
        <v/>
      </c>
      <c r="H101" s="42" t="str">
        <f>IF('API Screen DB Mapping'!H104="","",'API Screen DB Mapping'!H104)</f>
        <v/>
      </c>
      <c r="I101" s="42" t="str">
        <f>IF('API Screen DB Mapping'!I104="","",'API Screen DB Mapping'!I104)</f>
        <v/>
      </c>
      <c r="J101" s="42" t="str">
        <f>IF('API Screen DB Mapping'!J104="","",'API Screen DB Mapping'!J104)</f>
        <v/>
      </c>
      <c r="K101" s="42" t="str">
        <f>IF('API Screen DB Mapping'!K104="","",SWITCH('API Screen DB Mapping'!K104,"Not Started","Chưa bắt đầu","In Progress","Đang làm","Done","Hoàn thành",'API Screen DB Mapping'!K104))</f>
        <v/>
      </c>
      <c r="L101" s="42" t="str">
        <f>IFERROR(__xludf.DUMMYFUNCTION("IF('API Screen DB Mapping'!L104="""","""",IFERROR(GOOGLETRANSLATE('API Screen DB Mapping'!L104,""en"",""vi""),'API Screen DB Mapping'!L104))"),"")</f>
        <v/>
      </c>
    </row>
    <row r="102">
      <c r="A102" s="42" t="str">
        <f>IF('API Screen DB Mapping'!A105="","",'API Screen DB Mapping'!A105)</f>
        <v/>
      </c>
      <c r="B102" s="42" t="str">
        <f>IFERROR(__xludf.DUMMYFUNCTION("IF('API Screen DB Mapping'!B105="""","""",IFERROR(GOOGLETRANSLATE('API Screen DB Mapping'!B105,""en"",""vi""),'API Screen DB Mapping'!B105))"),"")</f>
        <v/>
      </c>
      <c r="C102" s="42" t="str">
        <f>IFERROR(__xludf.DUMMYFUNCTION("IF('API Screen DB Mapping'!C105="""","""",IFERROR(GOOGLETRANSLATE('API Screen DB Mapping'!C105,""en"",""vi""),'API Screen DB Mapping'!C105))"),"")</f>
        <v/>
      </c>
      <c r="D102" s="42" t="str">
        <f>IF('API Screen DB Mapping'!D105="","",'API Screen DB Mapping'!D105)</f>
        <v/>
      </c>
      <c r="E102" s="42" t="str">
        <f>IF('API Screen DB Mapping'!E105="","",'API Screen DB Mapping'!E105)</f>
        <v/>
      </c>
      <c r="F102" s="42" t="str">
        <f>IF('API Screen DB Mapping'!F105="","",'API Screen DB Mapping'!F105)</f>
        <v/>
      </c>
      <c r="G102" s="42" t="str">
        <f>IF('API Screen DB Mapping'!G105="","",'API Screen DB Mapping'!G105)</f>
        <v/>
      </c>
      <c r="H102" s="42" t="str">
        <f>IF('API Screen DB Mapping'!H105="","",'API Screen DB Mapping'!H105)</f>
        <v/>
      </c>
      <c r="I102" s="42" t="str">
        <f>IF('API Screen DB Mapping'!I105="","",'API Screen DB Mapping'!I105)</f>
        <v/>
      </c>
      <c r="J102" s="42" t="str">
        <f>IF('API Screen DB Mapping'!J105="","",'API Screen DB Mapping'!J105)</f>
        <v/>
      </c>
      <c r="K102" s="42" t="str">
        <f>IF('API Screen DB Mapping'!K105="","",SWITCH('API Screen DB Mapping'!K105,"Not Started","Chưa bắt đầu","In Progress","Đang làm","Done","Hoàn thành",'API Screen DB Mapping'!K105))</f>
        <v/>
      </c>
      <c r="L102" s="42" t="str">
        <f>IFERROR(__xludf.DUMMYFUNCTION("IF('API Screen DB Mapping'!L105="""","""",IFERROR(GOOGLETRANSLATE('API Screen DB Mapping'!L105,""en"",""vi""),'API Screen DB Mapping'!L105))"),"")</f>
        <v/>
      </c>
    </row>
    <row r="103">
      <c r="A103" s="42" t="str">
        <f>IF('API Screen DB Mapping'!A106="","",'API Screen DB Mapping'!A106)</f>
        <v/>
      </c>
      <c r="B103" s="42" t="str">
        <f>IFERROR(__xludf.DUMMYFUNCTION("IF('API Screen DB Mapping'!B106="""","""",IFERROR(GOOGLETRANSLATE('API Screen DB Mapping'!B106,""en"",""vi""),'API Screen DB Mapping'!B106))"),"")</f>
        <v/>
      </c>
      <c r="C103" s="42" t="str">
        <f>IFERROR(__xludf.DUMMYFUNCTION("IF('API Screen DB Mapping'!C106="""","""",IFERROR(GOOGLETRANSLATE('API Screen DB Mapping'!C106,""en"",""vi""),'API Screen DB Mapping'!C106))"),"")</f>
        <v/>
      </c>
      <c r="D103" s="42" t="str">
        <f>IF('API Screen DB Mapping'!D106="","",'API Screen DB Mapping'!D106)</f>
        <v/>
      </c>
      <c r="E103" s="42" t="str">
        <f>IF('API Screen DB Mapping'!E106="","",'API Screen DB Mapping'!E106)</f>
        <v/>
      </c>
      <c r="F103" s="42" t="str">
        <f>IF('API Screen DB Mapping'!F106="","",'API Screen DB Mapping'!F106)</f>
        <v/>
      </c>
      <c r="G103" s="42" t="str">
        <f>IF('API Screen DB Mapping'!G106="","",'API Screen DB Mapping'!G106)</f>
        <v/>
      </c>
      <c r="H103" s="42" t="str">
        <f>IF('API Screen DB Mapping'!H106="","",'API Screen DB Mapping'!H106)</f>
        <v/>
      </c>
      <c r="I103" s="42" t="str">
        <f>IF('API Screen DB Mapping'!I106="","",'API Screen DB Mapping'!I106)</f>
        <v/>
      </c>
      <c r="J103" s="42" t="str">
        <f>IF('API Screen DB Mapping'!J106="","",'API Screen DB Mapping'!J106)</f>
        <v/>
      </c>
      <c r="K103" s="42" t="str">
        <f>IF('API Screen DB Mapping'!K106="","",SWITCH('API Screen DB Mapping'!K106,"Not Started","Chưa bắt đầu","In Progress","Đang làm","Done","Hoàn thành",'API Screen DB Mapping'!K106))</f>
        <v/>
      </c>
      <c r="L103" s="42" t="str">
        <f>IFERROR(__xludf.DUMMYFUNCTION("IF('API Screen DB Mapping'!L106="""","""",IFERROR(GOOGLETRANSLATE('API Screen DB Mapping'!L106,""en"",""vi""),'API Screen DB Mapping'!L106))"),"")</f>
        <v/>
      </c>
    </row>
    <row r="104">
      <c r="A104" s="42" t="str">
        <f>IF('API Screen DB Mapping'!A107="","",'API Screen DB Mapping'!A107)</f>
        <v/>
      </c>
      <c r="B104" s="42" t="str">
        <f>IFERROR(__xludf.DUMMYFUNCTION("IF('API Screen DB Mapping'!B107="""","""",IFERROR(GOOGLETRANSLATE('API Screen DB Mapping'!B107,""en"",""vi""),'API Screen DB Mapping'!B107))"),"")</f>
        <v/>
      </c>
      <c r="C104" s="42" t="str">
        <f>IFERROR(__xludf.DUMMYFUNCTION("IF('API Screen DB Mapping'!C107="""","""",IFERROR(GOOGLETRANSLATE('API Screen DB Mapping'!C107,""en"",""vi""),'API Screen DB Mapping'!C107))"),"")</f>
        <v/>
      </c>
      <c r="D104" s="42" t="str">
        <f>IF('API Screen DB Mapping'!D107="","",'API Screen DB Mapping'!D107)</f>
        <v/>
      </c>
      <c r="E104" s="42" t="str">
        <f>IF('API Screen DB Mapping'!E107="","",'API Screen DB Mapping'!E107)</f>
        <v/>
      </c>
      <c r="F104" s="42" t="str">
        <f>IF('API Screen DB Mapping'!F107="","",'API Screen DB Mapping'!F107)</f>
        <v/>
      </c>
      <c r="G104" s="42" t="str">
        <f>IF('API Screen DB Mapping'!G107="","",'API Screen DB Mapping'!G107)</f>
        <v/>
      </c>
      <c r="H104" s="42" t="str">
        <f>IF('API Screen DB Mapping'!H107="","",'API Screen DB Mapping'!H107)</f>
        <v/>
      </c>
      <c r="I104" s="42" t="str">
        <f>IF('API Screen DB Mapping'!I107="","",'API Screen DB Mapping'!I107)</f>
        <v/>
      </c>
      <c r="J104" s="42" t="str">
        <f>IF('API Screen DB Mapping'!J107="","",'API Screen DB Mapping'!J107)</f>
        <v/>
      </c>
      <c r="K104" s="42" t="str">
        <f>IF('API Screen DB Mapping'!K107="","",SWITCH('API Screen DB Mapping'!K107,"Not Started","Chưa bắt đầu","In Progress","Đang làm","Done","Hoàn thành",'API Screen DB Mapping'!K107))</f>
        <v/>
      </c>
      <c r="L104" s="42" t="str">
        <f>IFERROR(__xludf.DUMMYFUNCTION("IF('API Screen DB Mapping'!L107="""","""",IFERROR(GOOGLETRANSLATE('API Screen DB Mapping'!L107,""en"",""vi""),'API Screen DB Mapping'!L107))"),"")</f>
        <v/>
      </c>
    </row>
    <row r="105">
      <c r="A105" s="42" t="str">
        <f>IF('API Screen DB Mapping'!A108="","",'API Screen DB Mapping'!A108)</f>
        <v/>
      </c>
      <c r="B105" s="42" t="str">
        <f>IFERROR(__xludf.DUMMYFUNCTION("IF('API Screen DB Mapping'!B108="""","""",IFERROR(GOOGLETRANSLATE('API Screen DB Mapping'!B108,""en"",""vi""),'API Screen DB Mapping'!B108))"),"")</f>
        <v/>
      </c>
      <c r="C105" s="42" t="str">
        <f>IFERROR(__xludf.DUMMYFUNCTION("IF('API Screen DB Mapping'!C108="""","""",IFERROR(GOOGLETRANSLATE('API Screen DB Mapping'!C108,""en"",""vi""),'API Screen DB Mapping'!C108))"),"")</f>
        <v/>
      </c>
      <c r="D105" s="42" t="str">
        <f>IF('API Screen DB Mapping'!D108="","",'API Screen DB Mapping'!D108)</f>
        <v/>
      </c>
      <c r="E105" s="42" t="str">
        <f>IF('API Screen DB Mapping'!E108="","",'API Screen DB Mapping'!E108)</f>
        <v/>
      </c>
      <c r="F105" s="42" t="str">
        <f>IF('API Screen DB Mapping'!F108="","",'API Screen DB Mapping'!F108)</f>
        <v/>
      </c>
      <c r="G105" s="42" t="str">
        <f>IF('API Screen DB Mapping'!G108="","",'API Screen DB Mapping'!G108)</f>
        <v/>
      </c>
      <c r="H105" s="42" t="str">
        <f>IF('API Screen DB Mapping'!H108="","",'API Screen DB Mapping'!H108)</f>
        <v/>
      </c>
      <c r="I105" s="42" t="str">
        <f>IF('API Screen DB Mapping'!I108="","",'API Screen DB Mapping'!I108)</f>
        <v/>
      </c>
      <c r="J105" s="42" t="str">
        <f>IF('API Screen DB Mapping'!J108="","",'API Screen DB Mapping'!J108)</f>
        <v/>
      </c>
      <c r="K105" s="42" t="str">
        <f>IF('API Screen DB Mapping'!K108="","",SWITCH('API Screen DB Mapping'!K108,"Not Started","Chưa bắt đầu","In Progress","Đang làm","Done","Hoàn thành",'API Screen DB Mapping'!K108))</f>
        <v/>
      </c>
      <c r="L105" s="42" t="str">
        <f>IFERROR(__xludf.DUMMYFUNCTION("IF('API Screen DB Mapping'!L108="""","""",IFERROR(GOOGLETRANSLATE('API Screen DB Mapping'!L108,""en"",""vi""),'API Screen DB Mapping'!L108))"),"")</f>
        <v/>
      </c>
    </row>
    <row r="106">
      <c r="A106" s="42" t="str">
        <f>IF('API Screen DB Mapping'!A109="","",'API Screen DB Mapping'!A109)</f>
        <v/>
      </c>
      <c r="B106" s="42" t="str">
        <f>IFERROR(__xludf.DUMMYFUNCTION("IF('API Screen DB Mapping'!B109="""","""",IFERROR(GOOGLETRANSLATE('API Screen DB Mapping'!B109,""en"",""vi""),'API Screen DB Mapping'!B109))"),"")</f>
        <v/>
      </c>
      <c r="C106" s="42" t="str">
        <f>IFERROR(__xludf.DUMMYFUNCTION("IF('API Screen DB Mapping'!C109="""","""",IFERROR(GOOGLETRANSLATE('API Screen DB Mapping'!C109,""en"",""vi""),'API Screen DB Mapping'!C109))"),"")</f>
        <v/>
      </c>
      <c r="D106" s="42" t="str">
        <f>IF('API Screen DB Mapping'!D109="","",'API Screen DB Mapping'!D109)</f>
        <v/>
      </c>
      <c r="E106" s="42" t="str">
        <f>IF('API Screen DB Mapping'!E109="","",'API Screen DB Mapping'!E109)</f>
        <v/>
      </c>
      <c r="F106" s="42" t="str">
        <f>IF('API Screen DB Mapping'!F109="","",'API Screen DB Mapping'!F109)</f>
        <v/>
      </c>
      <c r="G106" s="42" t="str">
        <f>IF('API Screen DB Mapping'!G109="","",'API Screen DB Mapping'!G109)</f>
        <v/>
      </c>
      <c r="H106" s="42" t="str">
        <f>IF('API Screen DB Mapping'!H109="","",'API Screen DB Mapping'!H109)</f>
        <v/>
      </c>
      <c r="I106" s="42" t="str">
        <f>IF('API Screen DB Mapping'!I109="","",'API Screen DB Mapping'!I109)</f>
        <v/>
      </c>
      <c r="J106" s="42" t="str">
        <f>IF('API Screen DB Mapping'!J109="","",'API Screen DB Mapping'!J109)</f>
        <v/>
      </c>
      <c r="K106" s="42" t="str">
        <f>IF('API Screen DB Mapping'!K109="","",SWITCH('API Screen DB Mapping'!K109,"Not Started","Chưa bắt đầu","In Progress","Đang làm","Done","Hoàn thành",'API Screen DB Mapping'!K109))</f>
        <v/>
      </c>
      <c r="L106" s="42" t="str">
        <f>IFERROR(__xludf.DUMMYFUNCTION("IF('API Screen DB Mapping'!L109="""","""",IFERROR(GOOGLETRANSLATE('API Screen DB Mapping'!L109,""en"",""vi""),'API Screen DB Mapping'!L109))"),"")</f>
        <v/>
      </c>
    </row>
    <row r="107">
      <c r="A107" s="42" t="str">
        <f>IF('API Screen DB Mapping'!A110="","",'API Screen DB Mapping'!A110)</f>
        <v/>
      </c>
      <c r="B107" s="42" t="str">
        <f>IFERROR(__xludf.DUMMYFUNCTION("IF('API Screen DB Mapping'!B110="""","""",IFERROR(GOOGLETRANSLATE('API Screen DB Mapping'!B110,""en"",""vi""),'API Screen DB Mapping'!B110))"),"")</f>
        <v/>
      </c>
      <c r="C107" s="42" t="str">
        <f>IFERROR(__xludf.DUMMYFUNCTION("IF('API Screen DB Mapping'!C110="""","""",IFERROR(GOOGLETRANSLATE('API Screen DB Mapping'!C110,""en"",""vi""),'API Screen DB Mapping'!C110))"),"")</f>
        <v/>
      </c>
      <c r="D107" s="42" t="str">
        <f>IF('API Screen DB Mapping'!D110="","",'API Screen DB Mapping'!D110)</f>
        <v/>
      </c>
      <c r="E107" s="42" t="str">
        <f>IF('API Screen DB Mapping'!E110="","",'API Screen DB Mapping'!E110)</f>
        <v/>
      </c>
      <c r="F107" s="42" t="str">
        <f>IF('API Screen DB Mapping'!F110="","",'API Screen DB Mapping'!F110)</f>
        <v/>
      </c>
      <c r="G107" s="42" t="str">
        <f>IF('API Screen DB Mapping'!G110="","",'API Screen DB Mapping'!G110)</f>
        <v/>
      </c>
      <c r="H107" s="42" t="str">
        <f>IF('API Screen DB Mapping'!H110="","",'API Screen DB Mapping'!H110)</f>
        <v/>
      </c>
      <c r="I107" s="42" t="str">
        <f>IF('API Screen DB Mapping'!I110="","",'API Screen DB Mapping'!I110)</f>
        <v/>
      </c>
      <c r="J107" s="42" t="str">
        <f>IF('API Screen DB Mapping'!J110="","",'API Screen DB Mapping'!J110)</f>
        <v/>
      </c>
      <c r="K107" s="42" t="str">
        <f>IF('API Screen DB Mapping'!K110="","",SWITCH('API Screen DB Mapping'!K110,"Not Started","Chưa bắt đầu","In Progress","Đang làm","Done","Hoàn thành",'API Screen DB Mapping'!K110))</f>
        <v/>
      </c>
      <c r="L107" s="42" t="str">
        <f>IFERROR(__xludf.DUMMYFUNCTION("IF('API Screen DB Mapping'!L110="""","""",IFERROR(GOOGLETRANSLATE('API Screen DB Mapping'!L110,""en"",""vi""),'API Screen DB Mapping'!L110))"),"")</f>
        <v/>
      </c>
    </row>
    <row r="108">
      <c r="A108" s="42" t="str">
        <f>IF('API Screen DB Mapping'!A111="","",'API Screen DB Mapping'!A111)</f>
        <v/>
      </c>
      <c r="B108" s="42" t="str">
        <f>IFERROR(__xludf.DUMMYFUNCTION("IF('API Screen DB Mapping'!B111="""","""",IFERROR(GOOGLETRANSLATE('API Screen DB Mapping'!B111,""en"",""vi""),'API Screen DB Mapping'!B111))"),"")</f>
        <v/>
      </c>
      <c r="C108" s="42" t="str">
        <f>IFERROR(__xludf.DUMMYFUNCTION("IF('API Screen DB Mapping'!C111="""","""",IFERROR(GOOGLETRANSLATE('API Screen DB Mapping'!C111,""en"",""vi""),'API Screen DB Mapping'!C111))"),"")</f>
        <v/>
      </c>
      <c r="D108" s="42" t="str">
        <f>IF('API Screen DB Mapping'!D111="","",'API Screen DB Mapping'!D111)</f>
        <v/>
      </c>
      <c r="E108" s="42" t="str">
        <f>IF('API Screen DB Mapping'!E111="","",'API Screen DB Mapping'!E111)</f>
        <v/>
      </c>
      <c r="F108" s="42" t="str">
        <f>IF('API Screen DB Mapping'!F111="","",'API Screen DB Mapping'!F111)</f>
        <v/>
      </c>
      <c r="G108" s="42" t="str">
        <f>IF('API Screen DB Mapping'!G111="","",'API Screen DB Mapping'!G111)</f>
        <v/>
      </c>
      <c r="H108" s="42" t="str">
        <f>IF('API Screen DB Mapping'!H111="","",'API Screen DB Mapping'!H111)</f>
        <v/>
      </c>
      <c r="I108" s="42" t="str">
        <f>IF('API Screen DB Mapping'!I111="","",'API Screen DB Mapping'!I111)</f>
        <v/>
      </c>
      <c r="J108" s="42" t="str">
        <f>IF('API Screen DB Mapping'!J111="","",'API Screen DB Mapping'!J111)</f>
        <v/>
      </c>
      <c r="K108" s="42" t="str">
        <f>IF('API Screen DB Mapping'!K111="","",SWITCH('API Screen DB Mapping'!K111,"Not Started","Chưa bắt đầu","In Progress","Đang làm","Done","Hoàn thành",'API Screen DB Mapping'!K111))</f>
        <v/>
      </c>
      <c r="L108" s="42" t="str">
        <f>IFERROR(__xludf.DUMMYFUNCTION("IF('API Screen DB Mapping'!L111="""","""",IFERROR(GOOGLETRANSLATE('API Screen DB Mapping'!L111,""en"",""vi""),'API Screen DB Mapping'!L111))"),"")</f>
        <v/>
      </c>
    </row>
    <row r="109">
      <c r="A109" s="42" t="str">
        <f>IF('API Screen DB Mapping'!A112="","",'API Screen DB Mapping'!A112)</f>
        <v/>
      </c>
      <c r="B109" s="42" t="str">
        <f>IFERROR(__xludf.DUMMYFUNCTION("IF('API Screen DB Mapping'!B112="""","""",IFERROR(GOOGLETRANSLATE('API Screen DB Mapping'!B112,""en"",""vi""),'API Screen DB Mapping'!B112))"),"")</f>
        <v/>
      </c>
      <c r="C109" s="42" t="str">
        <f>IFERROR(__xludf.DUMMYFUNCTION("IF('API Screen DB Mapping'!C112="""","""",IFERROR(GOOGLETRANSLATE('API Screen DB Mapping'!C112,""en"",""vi""),'API Screen DB Mapping'!C112))"),"")</f>
        <v/>
      </c>
      <c r="D109" s="42" t="str">
        <f>IF('API Screen DB Mapping'!D112="","",'API Screen DB Mapping'!D112)</f>
        <v/>
      </c>
      <c r="E109" s="42" t="str">
        <f>IF('API Screen DB Mapping'!E112="","",'API Screen DB Mapping'!E112)</f>
        <v/>
      </c>
      <c r="F109" s="42" t="str">
        <f>IF('API Screen DB Mapping'!F112="","",'API Screen DB Mapping'!F112)</f>
        <v/>
      </c>
      <c r="G109" s="42" t="str">
        <f>IF('API Screen DB Mapping'!G112="","",'API Screen DB Mapping'!G112)</f>
        <v/>
      </c>
      <c r="H109" s="42" t="str">
        <f>IF('API Screen DB Mapping'!H112="","",'API Screen DB Mapping'!H112)</f>
        <v/>
      </c>
      <c r="I109" s="42" t="str">
        <f>IF('API Screen DB Mapping'!I112="","",'API Screen DB Mapping'!I112)</f>
        <v/>
      </c>
      <c r="J109" s="42" t="str">
        <f>IF('API Screen DB Mapping'!J112="","",'API Screen DB Mapping'!J112)</f>
        <v/>
      </c>
      <c r="K109" s="42" t="str">
        <f>IF('API Screen DB Mapping'!K112="","",SWITCH('API Screen DB Mapping'!K112,"Not Started","Chưa bắt đầu","In Progress","Đang làm","Done","Hoàn thành",'API Screen DB Mapping'!K112))</f>
        <v/>
      </c>
      <c r="L109" s="42" t="str">
        <f>IFERROR(__xludf.DUMMYFUNCTION("IF('API Screen DB Mapping'!L112="""","""",IFERROR(GOOGLETRANSLATE('API Screen DB Mapping'!L112,""en"",""vi""),'API Screen DB Mapping'!L112))"),"")</f>
        <v/>
      </c>
    </row>
    <row r="110">
      <c r="A110" s="42" t="str">
        <f>IF('API Screen DB Mapping'!A113="","",'API Screen DB Mapping'!A113)</f>
        <v/>
      </c>
      <c r="B110" s="42" t="str">
        <f>IFERROR(__xludf.DUMMYFUNCTION("IF('API Screen DB Mapping'!B113="""","""",IFERROR(GOOGLETRANSLATE('API Screen DB Mapping'!B113,""en"",""vi""),'API Screen DB Mapping'!B113))"),"")</f>
        <v/>
      </c>
      <c r="C110" s="42" t="str">
        <f>IFERROR(__xludf.DUMMYFUNCTION("IF('API Screen DB Mapping'!C113="""","""",IFERROR(GOOGLETRANSLATE('API Screen DB Mapping'!C113,""en"",""vi""),'API Screen DB Mapping'!C113))"),"")</f>
        <v/>
      </c>
      <c r="D110" s="42" t="str">
        <f>IF('API Screen DB Mapping'!D113="","",'API Screen DB Mapping'!D113)</f>
        <v/>
      </c>
      <c r="E110" s="42" t="str">
        <f>IF('API Screen DB Mapping'!E113="","",'API Screen DB Mapping'!E113)</f>
        <v/>
      </c>
      <c r="F110" s="42" t="str">
        <f>IF('API Screen DB Mapping'!F113="","",'API Screen DB Mapping'!F113)</f>
        <v/>
      </c>
      <c r="G110" s="42" t="str">
        <f>IF('API Screen DB Mapping'!G113="","",'API Screen DB Mapping'!G113)</f>
        <v/>
      </c>
      <c r="H110" s="42" t="str">
        <f>IF('API Screen DB Mapping'!H113="","",'API Screen DB Mapping'!H113)</f>
        <v/>
      </c>
      <c r="I110" s="42" t="str">
        <f>IF('API Screen DB Mapping'!I113="","",'API Screen DB Mapping'!I113)</f>
        <v/>
      </c>
      <c r="J110" s="42" t="str">
        <f>IF('API Screen DB Mapping'!J113="","",'API Screen DB Mapping'!J113)</f>
        <v/>
      </c>
      <c r="K110" s="42" t="str">
        <f>IF('API Screen DB Mapping'!K113="","",SWITCH('API Screen DB Mapping'!K113,"Not Started","Chưa bắt đầu","In Progress","Đang làm","Done","Hoàn thành",'API Screen DB Mapping'!K113))</f>
        <v/>
      </c>
      <c r="L110" s="42" t="str">
        <f>IFERROR(__xludf.DUMMYFUNCTION("IF('API Screen DB Mapping'!L113="""","""",IFERROR(GOOGLETRANSLATE('API Screen DB Mapping'!L113,""en"",""vi""),'API Screen DB Mapping'!L113))"),"")</f>
        <v/>
      </c>
    </row>
    <row r="111">
      <c r="A111" s="42" t="str">
        <f>IF('API Screen DB Mapping'!A114="","",'API Screen DB Mapping'!A114)</f>
        <v/>
      </c>
      <c r="B111" s="42" t="str">
        <f>IFERROR(__xludf.DUMMYFUNCTION("IF('API Screen DB Mapping'!B114="""","""",IFERROR(GOOGLETRANSLATE('API Screen DB Mapping'!B114,""en"",""vi""),'API Screen DB Mapping'!B114))"),"")</f>
        <v/>
      </c>
      <c r="C111" s="42" t="str">
        <f>IFERROR(__xludf.DUMMYFUNCTION("IF('API Screen DB Mapping'!C114="""","""",IFERROR(GOOGLETRANSLATE('API Screen DB Mapping'!C114,""en"",""vi""),'API Screen DB Mapping'!C114))"),"")</f>
        <v/>
      </c>
      <c r="D111" s="42" t="str">
        <f>IF('API Screen DB Mapping'!D114="","",'API Screen DB Mapping'!D114)</f>
        <v/>
      </c>
      <c r="E111" s="42" t="str">
        <f>IF('API Screen DB Mapping'!E114="","",'API Screen DB Mapping'!E114)</f>
        <v/>
      </c>
      <c r="F111" s="42" t="str">
        <f>IF('API Screen DB Mapping'!F114="","",'API Screen DB Mapping'!F114)</f>
        <v/>
      </c>
      <c r="G111" s="42" t="str">
        <f>IF('API Screen DB Mapping'!G114="","",'API Screen DB Mapping'!G114)</f>
        <v/>
      </c>
      <c r="H111" s="42" t="str">
        <f>IF('API Screen DB Mapping'!H114="","",'API Screen DB Mapping'!H114)</f>
        <v/>
      </c>
      <c r="I111" s="42" t="str">
        <f>IF('API Screen DB Mapping'!I114="","",'API Screen DB Mapping'!I114)</f>
        <v/>
      </c>
      <c r="J111" s="42" t="str">
        <f>IF('API Screen DB Mapping'!J114="","",'API Screen DB Mapping'!J114)</f>
        <v/>
      </c>
      <c r="K111" s="42" t="str">
        <f>IF('API Screen DB Mapping'!K114="","",SWITCH('API Screen DB Mapping'!K114,"Not Started","Chưa bắt đầu","In Progress","Đang làm","Done","Hoàn thành",'API Screen DB Mapping'!K114))</f>
        <v/>
      </c>
      <c r="L111" s="42" t="str">
        <f>IFERROR(__xludf.DUMMYFUNCTION("IF('API Screen DB Mapping'!L114="""","""",IFERROR(GOOGLETRANSLATE('API Screen DB Mapping'!L114,""en"",""vi""),'API Screen DB Mapping'!L114))"),"")</f>
        <v/>
      </c>
    </row>
    <row r="112">
      <c r="A112" s="42" t="str">
        <f>IF('API Screen DB Mapping'!A115="","",'API Screen DB Mapping'!A115)</f>
        <v/>
      </c>
      <c r="B112" s="42" t="str">
        <f>IFERROR(__xludf.DUMMYFUNCTION("IF('API Screen DB Mapping'!B115="""","""",IFERROR(GOOGLETRANSLATE('API Screen DB Mapping'!B115,""en"",""vi""),'API Screen DB Mapping'!B115))"),"")</f>
        <v/>
      </c>
      <c r="C112" s="42" t="str">
        <f>IFERROR(__xludf.DUMMYFUNCTION("IF('API Screen DB Mapping'!C115="""","""",IFERROR(GOOGLETRANSLATE('API Screen DB Mapping'!C115,""en"",""vi""),'API Screen DB Mapping'!C115))"),"")</f>
        <v/>
      </c>
      <c r="D112" s="42" t="str">
        <f>IF('API Screen DB Mapping'!D115="","",'API Screen DB Mapping'!D115)</f>
        <v/>
      </c>
      <c r="E112" s="42" t="str">
        <f>IF('API Screen DB Mapping'!E115="","",'API Screen DB Mapping'!E115)</f>
        <v/>
      </c>
      <c r="F112" s="42" t="str">
        <f>IF('API Screen DB Mapping'!F115="","",'API Screen DB Mapping'!F115)</f>
        <v/>
      </c>
      <c r="G112" s="42" t="str">
        <f>IF('API Screen DB Mapping'!G115="","",'API Screen DB Mapping'!G115)</f>
        <v/>
      </c>
      <c r="H112" s="42" t="str">
        <f>IF('API Screen DB Mapping'!H115="","",'API Screen DB Mapping'!H115)</f>
        <v/>
      </c>
      <c r="I112" s="42" t="str">
        <f>IF('API Screen DB Mapping'!I115="","",'API Screen DB Mapping'!I115)</f>
        <v/>
      </c>
      <c r="J112" s="42" t="str">
        <f>IF('API Screen DB Mapping'!J115="","",'API Screen DB Mapping'!J115)</f>
        <v/>
      </c>
      <c r="K112" s="42" t="str">
        <f>IF('API Screen DB Mapping'!K115="","",SWITCH('API Screen DB Mapping'!K115,"Not Started","Chưa bắt đầu","In Progress","Đang làm","Done","Hoàn thành",'API Screen DB Mapping'!K115))</f>
        <v/>
      </c>
      <c r="L112" s="42" t="str">
        <f>IFERROR(__xludf.DUMMYFUNCTION("IF('API Screen DB Mapping'!L115="""","""",IFERROR(GOOGLETRANSLATE('API Screen DB Mapping'!L115,""en"",""vi""),'API Screen DB Mapping'!L115))"),"")</f>
        <v/>
      </c>
    </row>
    <row r="113">
      <c r="A113" s="42" t="str">
        <f>IF('API Screen DB Mapping'!A116="","",'API Screen DB Mapping'!A116)</f>
        <v/>
      </c>
      <c r="B113" s="42" t="str">
        <f>IFERROR(__xludf.DUMMYFUNCTION("IF('API Screen DB Mapping'!B116="""","""",IFERROR(GOOGLETRANSLATE('API Screen DB Mapping'!B116,""en"",""vi""),'API Screen DB Mapping'!B116))"),"")</f>
        <v/>
      </c>
      <c r="C113" s="42" t="str">
        <f>IFERROR(__xludf.DUMMYFUNCTION("IF('API Screen DB Mapping'!C116="""","""",IFERROR(GOOGLETRANSLATE('API Screen DB Mapping'!C116,""en"",""vi""),'API Screen DB Mapping'!C116))"),"")</f>
        <v/>
      </c>
      <c r="D113" s="42" t="str">
        <f>IF('API Screen DB Mapping'!D116="","",'API Screen DB Mapping'!D116)</f>
        <v/>
      </c>
      <c r="E113" s="42" t="str">
        <f>IF('API Screen DB Mapping'!E116="","",'API Screen DB Mapping'!E116)</f>
        <v/>
      </c>
      <c r="F113" s="42" t="str">
        <f>IF('API Screen DB Mapping'!F116="","",'API Screen DB Mapping'!F116)</f>
        <v/>
      </c>
      <c r="G113" s="42" t="str">
        <f>IF('API Screen DB Mapping'!G116="","",'API Screen DB Mapping'!G116)</f>
        <v/>
      </c>
      <c r="H113" s="42" t="str">
        <f>IF('API Screen DB Mapping'!H116="","",'API Screen DB Mapping'!H116)</f>
        <v/>
      </c>
      <c r="I113" s="42" t="str">
        <f>IF('API Screen DB Mapping'!I116="","",'API Screen DB Mapping'!I116)</f>
        <v/>
      </c>
      <c r="J113" s="42" t="str">
        <f>IF('API Screen DB Mapping'!J116="","",'API Screen DB Mapping'!J116)</f>
        <v/>
      </c>
      <c r="K113" s="42" t="str">
        <f>IF('API Screen DB Mapping'!K116="","",SWITCH('API Screen DB Mapping'!K116,"Not Started","Chưa bắt đầu","In Progress","Đang làm","Done","Hoàn thành",'API Screen DB Mapping'!K116))</f>
        <v/>
      </c>
      <c r="L113" s="42" t="str">
        <f>IFERROR(__xludf.DUMMYFUNCTION("IF('API Screen DB Mapping'!L116="""","""",IFERROR(GOOGLETRANSLATE('API Screen DB Mapping'!L116,""en"",""vi""),'API Screen DB Mapping'!L116))"),"")</f>
        <v/>
      </c>
    </row>
    <row r="114">
      <c r="A114" s="42" t="str">
        <f>IF('API Screen DB Mapping'!A117="","",'API Screen DB Mapping'!A117)</f>
        <v/>
      </c>
      <c r="B114" s="42" t="str">
        <f>IFERROR(__xludf.DUMMYFUNCTION("IF('API Screen DB Mapping'!B117="""","""",IFERROR(GOOGLETRANSLATE('API Screen DB Mapping'!B117,""en"",""vi""),'API Screen DB Mapping'!B117))"),"")</f>
        <v/>
      </c>
      <c r="C114" s="42" t="str">
        <f>IFERROR(__xludf.DUMMYFUNCTION("IF('API Screen DB Mapping'!C117="""","""",IFERROR(GOOGLETRANSLATE('API Screen DB Mapping'!C117,""en"",""vi""),'API Screen DB Mapping'!C117))"),"")</f>
        <v/>
      </c>
      <c r="D114" s="42" t="str">
        <f>IF('API Screen DB Mapping'!D117="","",'API Screen DB Mapping'!D117)</f>
        <v/>
      </c>
      <c r="E114" s="42" t="str">
        <f>IF('API Screen DB Mapping'!E117="","",'API Screen DB Mapping'!E117)</f>
        <v/>
      </c>
      <c r="F114" s="42" t="str">
        <f>IF('API Screen DB Mapping'!F117="","",'API Screen DB Mapping'!F117)</f>
        <v/>
      </c>
      <c r="G114" s="42" t="str">
        <f>IF('API Screen DB Mapping'!G117="","",'API Screen DB Mapping'!G117)</f>
        <v/>
      </c>
      <c r="H114" s="42" t="str">
        <f>IF('API Screen DB Mapping'!H117="","",'API Screen DB Mapping'!H117)</f>
        <v/>
      </c>
      <c r="I114" s="42" t="str">
        <f>IF('API Screen DB Mapping'!I117="","",'API Screen DB Mapping'!I117)</f>
        <v/>
      </c>
      <c r="J114" s="42" t="str">
        <f>IF('API Screen DB Mapping'!J117="","",'API Screen DB Mapping'!J117)</f>
        <v/>
      </c>
      <c r="K114" s="42" t="str">
        <f>IF('API Screen DB Mapping'!K117="","",SWITCH('API Screen DB Mapping'!K117,"Not Started","Chưa bắt đầu","In Progress","Đang làm","Done","Hoàn thành",'API Screen DB Mapping'!K117))</f>
        <v/>
      </c>
      <c r="L114" s="42" t="str">
        <f>IFERROR(__xludf.DUMMYFUNCTION("IF('API Screen DB Mapping'!L117="""","""",IFERROR(GOOGLETRANSLATE('API Screen DB Mapping'!L117,""en"",""vi""),'API Screen DB Mapping'!L117))"),"")</f>
        <v/>
      </c>
    </row>
    <row r="115">
      <c r="A115" s="42" t="str">
        <f>IF('API Screen DB Mapping'!A118="","",'API Screen DB Mapping'!A118)</f>
        <v/>
      </c>
      <c r="B115" s="42" t="str">
        <f>IFERROR(__xludf.DUMMYFUNCTION("IF('API Screen DB Mapping'!B118="""","""",IFERROR(GOOGLETRANSLATE('API Screen DB Mapping'!B118,""en"",""vi""),'API Screen DB Mapping'!B118))"),"")</f>
        <v/>
      </c>
      <c r="C115" s="42" t="str">
        <f>IFERROR(__xludf.DUMMYFUNCTION("IF('API Screen DB Mapping'!C118="""","""",IFERROR(GOOGLETRANSLATE('API Screen DB Mapping'!C118,""en"",""vi""),'API Screen DB Mapping'!C118))"),"")</f>
        <v/>
      </c>
      <c r="D115" s="42" t="str">
        <f>IF('API Screen DB Mapping'!D118="","",'API Screen DB Mapping'!D118)</f>
        <v/>
      </c>
      <c r="E115" s="42" t="str">
        <f>IF('API Screen DB Mapping'!E118="","",'API Screen DB Mapping'!E118)</f>
        <v/>
      </c>
      <c r="F115" s="42" t="str">
        <f>IF('API Screen DB Mapping'!F118="","",'API Screen DB Mapping'!F118)</f>
        <v/>
      </c>
      <c r="G115" s="42" t="str">
        <f>IF('API Screen DB Mapping'!G118="","",'API Screen DB Mapping'!G118)</f>
        <v/>
      </c>
      <c r="H115" s="42" t="str">
        <f>IF('API Screen DB Mapping'!H118="","",'API Screen DB Mapping'!H118)</f>
        <v/>
      </c>
      <c r="I115" s="42" t="str">
        <f>IF('API Screen DB Mapping'!I118="","",'API Screen DB Mapping'!I118)</f>
        <v/>
      </c>
      <c r="J115" s="42" t="str">
        <f>IF('API Screen DB Mapping'!J118="","",'API Screen DB Mapping'!J118)</f>
        <v/>
      </c>
      <c r="K115" s="42" t="str">
        <f>IF('API Screen DB Mapping'!K118="","",SWITCH('API Screen DB Mapping'!K118,"Not Started","Chưa bắt đầu","In Progress","Đang làm","Done","Hoàn thành",'API Screen DB Mapping'!K118))</f>
        <v/>
      </c>
      <c r="L115" s="42" t="str">
        <f>IFERROR(__xludf.DUMMYFUNCTION("IF('API Screen DB Mapping'!L118="""","""",IFERROR(GOOGLETRANSLATE('API Screen DB Mapping'!L118,""en"",""vi""),'API Screen DB Mapping'!L118))"),"")</f>
        <v/>
      </c>
    </row>
    <row r="116">
      <c r="A116" s="42" t="str">
        <f>IF('API Screen DB Mapping'!A119="","",'API Screen DB Mapping'!A119)</f>
        <v/>
      </c>
      <c r="B116" s="42" t="str">
        <f>IFERROR(__xludf.DUMMYFUNCTION("IF('API Screen DB Mapping'!B119="""","""",IFERROR(GOOGLETRANSLATE('API Screen DB Mapping'!B119,""en"",""vi""),'API Screen DB Mapping'!B119))"),"")</f>
        <v/>
      </c>
      <c r="C116" s="42" t="str">
        <f>IFERROR(__xludf.DUMMYFUNCTION("IF('API Screen DB Mapping'!C119="""","""",IFERROR(GOOGLETRANSLATE('API Screen DB Mapping'!C119,""en"",""vi""),'API Screen DB Mapping'!C119))"),"")</f>
        <v/>
      </c>
      <c r="D116" s="42" t="str">
        <f>IF('API Screen DB Mapping'!D119="","",'API Screen DB Mapping'!D119)</f>
        <v/>
      </c>
      <c r="E116" s="42" t="str">
        <f>IF('API Screen DB Mapping'!E119="","",'API Screen DB Mapping'!E119)</f>
        <v/>
      </c>
      <c r="F116" s="42" t="str">
        <f>IF('API Screen DB Mapping'!F119="","",'API Screen DB Mapping'!F119)</f>
        <v/>
      </c>
      <c r="G116" s="42" t="str">
        <f>IF('API Screen DB Mapping'!G119="","",'API Screen DB Mapping'!G119)</f>
        <v/>
      </c>
      <c r="H116" s="42" t="str">
        <f>IF('API Screen DB Mapping'!H119="","",'API Screen DB Mapping'!H119)</f>
        <v/>
      </c>
      <c r="I116" s="42" t="str">
        <f>IF('API Screen DB Mapping'!I119="","",'API Screen DB Mapping'!I119)</f>
        <v/>
      </c>
      <c r="J116" s="42" t="str">
        <f>IF('API Screen DB Mapping'!J119="","",'API Screen DB Mapping'!J119)</f>
        <v/>
      </c>
      <c r="K116" s="42" t="str">
        <f>IF('API Screen DB Mapping'!K119="","",SWITCH('API Screen DB Mapping'!K119,"Not Started","Chưa bắt đầu","In Progress","Đang làm","Done","Hoàn thành",'API Screen DB Mapping'!K119))</f>
        <v/>
      </c>
      <c r="L116" s="42" t="str">
        <f>IFERROR(__xludf.DUMMYFUNCTION("IF('API Screen DB Mapping'!L119="""","""",IFERROR(GOOGLETRANSLATE('API Screen DB Mapping'!L119,""en"",""vi""),'API Screen DB Mapping'!L119))"),"")</f>
        <v/>
      </c>
    </row>
    <row r="117">
      <c r="A117" s="42" t="str">
        <f>IF('API Screen DB Mapping'!A120="","",'API Screen DB Mapping'!A120)</f>
        <v/>
      </c>
      <c r="B117" s="42" t="str">
        <f>IFERROR(__xludf.DUMMYFUNCTION("IF('API Screen DB Mapping'!B120="""","""",IFERROR(GOOGLETRANSLATE('API Screen DB Mapping'!B120,""en"",""vi""),'API Screen DB Mapping'!B120))"),"")</f>
        <v/>
      </c>
      <c r="C117" s="42" t="str">
        <f>IFERROR(__xludf.DUMMYFUNCTION("IF('API Screen DB Mapping'!C120="""","""",IFERROR(GOOGLETRANSLATE('API Screen DB Mapping'!C120,""en"",""vi""),'API Screen DB Mapping'!C120))"),"")</f>
        <v/>
      </c>
      <c r="D117" s="42" t="str">
        <f>IF('API Screen DB Mapping'!D120="","",'API Screen DB Mapping'!D120)</f>
        <v/>
      </c>
      <c r="E117" s="42" t="str">
        <f>IF('API Screen DB Mapping'!E120="","",'API Screen DB Mapping'!E120)</f>
        <v/>
      </c>
      <c r="F117" s="42" t="str">
        <f>IF('API Screen DB Mapping'!F120="","",'API Screen DB Mapping'!F120)</f>
        <v/>
      </c>
      <c r="G117" s="42" t="str">
        <f>IF('API Screen DB Mapping'!G120="","",'API Screen DB Mapping'!G120)</f>
        <v/>
      </c>
      <c r="H117" s="42" t="str">
        <f>IF('API Screen DB Mapping'!H120="","",'API Screen DB Mapping'!H120)</f>
        <v/>
      </c>
      <c r="I117" s="42" t="str">
        <f>IF('API Screen DB Mapping'!I120="","",'API Screen DB Mapping'!I120)</f>
        <v/>
      </c>
      <c r="J117" s="42" t="str">
        <f>IF('API Screen DB Mapping'!J120="","",'API Screen DB Mapping'!J120)</f>
        <v/>
      </c>
      <c r="K117" s="42" t="str">
        <f>IF('API Screen DB Mapping'!K120="","",SWITCH('API Screen DB Mapping'!K120,"Not Started","Chưa bắt đầu","In Progress","Đang làm","Done","Hoàn thành",'API Screen DB Mapping'!K120))</f>
        <v/>
      </c>
      <c r="L117" s="42" t="str">
        <f>IFERROR(__xludf.DUMMYFUNCTION("IF('API Screen DB Mapping'!L120="""","""",IFERROR(GOOGLETRANSLATE('API Screen DB Mapping'!L120,""en"",""vi""),'API Screen DB Mapping'!L120))"),"")</f>
        <v/>
      </c>
    </row>
    <row r="118">
      <c r="A118" s="42" t="str">
        <f>IF('API Screen DB Mapping'!A121="","",'API Screen DB Mapping'!A121)</f>
        <v/>
      </c>
      <c r="B118" s="42" t="str">
        <f>IFERROR(__xludf.DUMMYFUNCTION("IF('API Screen DB Mapping'!B121="""","""",IFERROR(GOOGLETRANSLATE('API Screen DB Mapping'!B121,""en"",""vi""),'API Screen DB Mapping'!B121))"),"")</f>
        <v/>
      </c>
      <c r="C118" s="42" t="str">
        <f>IFERROR(__xludf.DUMMYFUNCTION("IF('API Screen DB Mapping'!C121="""","""",IFERROR(GOOGLETRANSLATE('API Screen DB Mapping'!C121,""en"",""vi""),'API Screen DB Mapping'!C121))"),"")</f>
        <v/>
      </c>
      <c r="D118" s="42" t="str">
        <f>IF('API Screen DB Mapping'!D121="","",'API Screen DB Mapping'!D121)</f>
        <v/>
      </c>
      <c r="E118" s="42" t="str">
        <f>IF('API Screen DB Mapping'!E121="","",'API Screen DB Mapping'!E121)</f>
        <v/>
      </c>
      <c r="F118" s="42" t="str">
        <f>IF('API Screen DB Mapping'!F121="","",'API Screen DB Mapping'!F121)</f>
        <v/>
      </c>
      <c r="G118" s="42" t="str">
        <f>IF('API Screen DB Mapping'!G121="","",'API Screen DB Mapping'!G121)</f>
        <v/>
      </c>
      <c r="H118" s="42" t="str">
        <f>IF('API Screen DB Mapping'!H121="","",'API Screen DB Mapping'!H121)</f>
        <v/>
      </c>
      <c r="I118" s="42" t="str">
        <f>IF('API Screen DB Mapping'!I121="","",'API Screen DB Mapping'!I121)</f>
        <v/>
      </c>
      <c r="J118" s="42" t="str">
        <f>IF('API Screen DB Mapping'!J121="","",'API Screen DB Mapping'!J121)</f>
        <v/>
      </c>
      <c r="K118" s="42" t="str">
        <f>IF('API Screen DB Mapping'!K121="","",SWITCH('API Screen DB Mapping'!K121,"Not Started","Chưa bắt đầu","In Progress","Đang làm","Done","Hoàn thành",'API Screen DB Mapping'!K121))</f>
        <v/>
      </c>
      <c r="L118" s="42" t="str">
        <f>IFERROR(__xludf.DUMMYFUNCTION("IF('API Screen DB Mapping'!L121="""","""",IFERROR(GOOGLETRANSLATE('API Screen DB Mapping'!L121,""en"",""vi""),'API Screen DB Mapping'!L121))"),"")</f>
        <v/>
      </c>
    </row>
    <row r="119">
      <c r="A119" s="42" t="str">
        <f>IF('API Screen DB Mapping'!A122="","",'API Screen DB Mapping'!A122)</f>
        <v/>
      </c>
      <c r="B119" s="42" t="str">
        <f>IFERROR(__xludf.DUMMYFUNCTION("IF('API Screen DB Mapping'!B122="""","""",IFERROR(GOOGLETRANSLATE('API Screen DB Mapping'!B122,""en"",""vi""),'API Screen DB Mapping'!B122))"),"")</f>
        <v/>
      </c>
      <c r="C119" s="42" t="str">
        <f>IFERROR(__xludf.DUMMYFUNCTION("IF('API Screen DB Mapping'!C122="""","""",IFERROR(GOOGLETRANSLATE('API Screen DB Mapping'!C122,""en"",""vi""),'API Screen DB Mapping'!C122))"),"")</f>
        <v/>
      </c>
      <c r="D119" s="42" t="str">
        <f>IF('API Screen DB Mapping'!D122="","",'API Screen DB Mapping'!D122)</f>
        <v/>
      </c>
      <c r="E119" s="42" t="str">
        <f>IF('API Screen DB Mapping'!E122="","",'API Screen DB Mapping'!E122)</f>
        <v/>
      </c>
      <c r="F119" s="42" t="str">
        <f>IF('API Screen DB Mapping'!F122="","",'API Screen DB Mapping'!F122)</f>
        <v/>
      </c>
      <c r="G119" s="42" t="str">
        <f>IF('API Screen DB Mapping'!G122="","",'API Screen DB Mapping'!G122)</f>
        <v/>
      </c>
      <c r="H119" s="42" t="str">
        <f>IF('API Screen DB Mapping'!H122="","",'API Screen DB Mapping'!H122)</f>
        <v/>
      </c>
      <c r="I119" s="42" t="str">
        <f>IF('API Screen DB Mapping'!I122="","",'API Screen DB Mapping'!I122)</f>
        <v/>
      </c>
      <c r="J119" s="42" t="str">
        <f>IF('API Screen DB Mapping'!J122="","",'API Screen DB Mapping'!J122)</f>
        <v/>
      </c>
      <c r="K119" s="42" t="str">
        <f>IF('API Screen DB Mapping'!K122="","",SWITCH('API Screen DB Mapping'!K122,"Not Started","Chưa bắt đầu","In Progress","Đang làm","Done","Hoàn thành",'API Screen DB Mapping'!K122))</f>
        <v/>
      </c>
      <c r="L119" s="42" t="str">
        <f>IFERROR(__xludf.DUMMYFUNCTION("IF('API Screen DB Mapping'!L122="""","""",IFERROR(GOOGLETRANSLATE('API Screen DB Mapping'!L122,""en"",""vi""),'API Screen DB Mapping'!L122))"),"")</f>
        <v/>
      </c>
    </row>
    <row r="120">
      <c r="A120" s="42" t="str">
        <f>IF('API Screen DB Mapping'!A123="","",'API Screen DB Mapping'!A123)</f>
        <v/>
      </c>
      <c r="B120" s="42" t="str">
        <f>IFERROR(__xludf.DUMMYFUNCTION("IF('API Screen DB Mapping'!B123="""","""",IFERROR(GOOGLETRANSLATE('API Screen DB Mapping'!B123,""en"",""vi""),'API Screen DB Mapping'!B123))"),"")</f>
        <v/>
      </c>
      <c r="C120" s="42" t="str">
        <f>IFERROR(__xludf.DUMMYFUNCTION("IF('API Screen DB Mapping'!C123="""","""",IFERROR(GOOGLETRANSLATE('API Screen DB Mapping'!C123,""en"",""vi""),'API Screen DB Mapping'!C123))"),"")</f>
        <v/>
      </c>
      <c r="D120" s="42" t="str">
        <f>IF('API Screen DB Mapping'!D123="","",'API Screen DB Mapping'!D123)</f>
        <v/>
      </c>
      <c r="E120" s="42" t="str">
        <f>IF('API Screen DB Mapping'!E123="","",'API Screen DB Mapping'!E123)</f>
        <v/>
      </c>
      <c r="F120" s="42" t="str">
        <f>IF('API Screen DB Mapping'!F123="","",'API Screen DB Mapping'!F123)</f>
        <v/>
      </c>
      <c r="G120" s="42" t="str">
        <f>IF('API Screen DB Mapping'!G123="","",'API Screen DB Mapping'!G123)</f>
        <v/>
      </c>
      <c r="H120" s="42" t="str">
        <f>IF('API Screen DB Mapping'!H123="","",'API Screen DB Mapping'!H123)</f>
        <v/>
      </c>
      <c r="I120" s="42" t="str">
        <f>IF('API Screen DB Mapping'!I123="","",'API Screen DB Mapping'!I123)</f>
        <v/>
      </c>
      <c r="J120" s="42" t="str">
        <f>IF('API Screen DB Mapping'!J123="","",'API Screen DB Mapping'!J123)</f>
        <v/>
      </c>
      <c r="K120" s="42" t="str">
        <f>IF('API Screen DB Mapping'!K123="","",SWITCH('API Screen DB Mapping'!K123,"Not Started","Chưa bắt đầu","In Progress","Đang làm","Done","Hoàn thành",'API Screen DB Mapping'!K123))</f>
        <v/>
      </c>
      <c r="L120" s="42" t="str">
        <f>IFERROR(__xludf.DUMMYFUNCTION("IF('API Screen DB Mapping'!L123="""","""",IFERROR(GOOGLETRANSLATE('API Screen DB Mapping'!L123,""en"",""vi""),'API Screen DB Mapping'!L123))"),"")</f>
        <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8C3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4.88"/>
    <col customWidth="1" min="4" max="4" width="29.0"/>
    <col customWidth="1" min="5" max="5" width="31.88"/>
    <col customWidth="1" min="6" max="7" width="37.63"/>
    <col customWidth="1" min="9" max="9" width="28.25"/>
    <col customWidth="1" min="10" max="11" width="37.63"/>
  </cols>
  <sheetData>
    <row r="1" ht="22.5" customHeight="1">
      <c r="A1" s="39" t="s">
        <v>1777</v>
      </c>
      <c r="B1" s="39" t="s">
        <v>1778</v>
      </c>
      <c r="C1" s="39" t="s">
        <v>1802</v>
      </c>
      <c r="D1" s="39" t="s">
        <v>1803</v>
      </c>
      <c r="E1" s="39" t="s">
        <v>1134</v>
      </c>
      <c r="F1" s="39" t="s">
        <v>1804</v>
      </c>
      <c r="G1" s="39" t="s">
        <v>1805</v>
      </c>
      <c r="H1" s="39" t="s">
        <v>1781</v>
      </c>
      <c r="I1" s="39" t="s">
        <v>1773</v>
      </c>
      <c r="J1" s="39" t="s">
        <v>1806</v>
      </c>
      <c r="K1" s="39" t="s">
        <v>1774</v>
      </c>
    </row>
    <row r="2" ht="22.5" customHeight="1">
      <c r="A2" s="41" t="s">
        <v>504</v>
      </c>
      <c r="B2" s="41" t="s">
        <v>1784</v>
      </c>
      <c r="C2" s="43">
        <v>3.0</v>
      </c>
      <c r="D2" s="41" t="s">
        <v>1631</v>
      </c>
      <c r="E2" s="41" t="s">
        <v>1661</v>
      </c>
      <c r="F2" s="41" t="s">
        <v>1807</v>
      </c>
      <c r="G2" s="41" t="s">
        <v>1808</v>
      </c>
      <c r="H2" s="41" t="s">
        <v>1154</v>
      </c>
      <c r="I2" s="41" t="s">
        <v>65</v>
      </c>
      <c r="J2" s="41" t="s">
        <v>1809</v>
      </c>
      <c r="K2" s="41" t="s">
        <v>1810</v>
      </c>
    </row>
    <row r="3" ht="22.5" customHeight="1">
      <c r="A3" s="41" t="s">
        <v>504</v>
      </c>
      <c r="B3" s="41" t="s">
        <v>1784</v>
      </c>
      <c r="C3" s="43">
        <v>4.0</v>
      </c>
      <c r="D3" s="41" t="s">
        <v>1631</v>
      </c>
      <c r="E3" s="41" t="s">
        <v>1661</v>
      </c>
      <c r="F3" s="41" t="s">
        <v>1811</v>
      </c>
      <c r="G3" s="41" t="s">
        <v>1812</v>
      </c>
      <c r="H3" s="41" t="s">
        <v>1159</v>
      </c>
      <c r="I3" s="41" t="s">
        <v>1160</v>
      </c>
      <c r="J3" s="41" t="s">
        <v>1813</v>
      </c>
      <c r="K3" s="41" t="s">
        <v>1814</v>
      </c>
    </row>
    <row r="4" ht="22.5" customHeight="1">
      <c r="A4" s="41" t="s">
        <v>504</v>
      </c>
      <c r="B4" s="41" t="s">
        <v>1784</v>
      </c>
      <c r="C4" s="43">
        <v>5.0</v>
      </c>
      <c r="D4" s="41" t="s">
        <v>1631</v>
      </c>
      <c r="E4" s="41" t="s">
        <v>1661</v>
      </c>
      <c r="F4" s="41" t="s">
        <v>1815</v>
      </c>
      <c r="G4" s="41" t="s">
        <v>1816</v>
      </c>
      <c r="H4" s="41" t="s">
        <v>1165</v>
      </c>
      <c r="I4" s="41" t="s">
        <v>1166</v>
      </c>
      <c r="J4" s="41" t="s">
        <v>1817</v>
      </c>
      <c r="K4" s="41" t="s">
        <v>1818</v>
      </c>
    </row>
    <row r="5" ht="22.5" customHeight="1">
      <c r="A5" s="41" t="s">
        <v>504</v>
      </c>
      <c r="B5" s="41" t="s">
        <v>1784</v>
      </c>
      <c r="C5" s="43">
        <v>7.0</v>
      </c>
      <c r="D5" s="41" t="s">
        <v>1631</v>
      </c>
      <c r="E5" s="41" t="s">
        <v>1661</v>
      </c>
      <c r="F5" s="41" t="s">
        <v>1819</v>
      </c>
      <c r="G5" s="41" t="s">
        <v>1820</v>
      </c>
      <c r="H5" s="41" t="s">
        <v>1165</v>
      </c>
      <c r="I5" s="41" t="s">
        <v>1176</v>
      </c>
      <c r="J5" s="41" t="s">
        <v>1821</v>
      </c>
      <c r="K5" s="41" t="s">
        <v>1822</v>
      </c>
    </row>
    <row r="6" ht="22.5" customHeight="1">
      <c r="A6" s="41" t="s">
        <v>504</v>
      </c>
      <c r="B6" s="41" t="s">
        <v>1784</v>
      </c>
      <c r="C6" s="43">
        <v>8.0</v>
      </c>
      <c r="D6" s="41" t="s">
        <v>1631</v>
      </c>
      <c r="E6" s="41" t="s">
        <v>1661</v>
      </c>
      <c r="F6" s="41" t="s">
        <v>1823</v>
      </c>
      <c r="G6" s="41" t="s">
        <v>1824</v>
      </c>
      <c r="H6" s="41" t="s">
        <v>1181</v>
      </c>
      <c r="I6" s="41" t="s">
        <v>27</v>
      </c>
      <c r="J6" s="41" t="s">
        <v>1825</v>
      </c>
      <c r="K6" s="41" t="s">
        <v>1826</v>
      </c>
    </row>
    <row r="7" ht="22.5" customHeight="1">
      <c r="A7" s="41" t="s">
        <v>504</v>
      </c>
      <c r="B7" s="41" t="s">
        <v>1784</v>
      </c>
      <c r="C7" s="43">
        <v>9.0</v>
      </c>
      <c r="D7" s="41" t="s">
        <v>1631</v>
      </c>
      <c r="E7" s="41" t="s">
        <v>1661</v>
      </c>
      <c r="F7" s="41" t="s">
        <v>1827</v>
      </c>
      <c r="G7" s="41" t="s">
        <v>1828</v>
      </c>
      <c r="H7" s="41" t="s">
        <v>1186</v>
      </c>
      <c r="I7" s="41" t="s">
        <v>35</v>
      </c>
      <c r="J7" s="41" t="s">
        <v>1829</v>
      </c>
      <c r="K7" s="41" t="s">
        <v>1830</v>
      </c>
    </row>
    <row r="8" ht="22.5" customHeight="1">
      <c r="A8" s="41" t="s">
        <v>504</v>
      </c>
      <c r="B8" s="41" t="s">
        <v>1784</v>
      </c>
      <c r="C8" s="43">
        <v>10.0</v>
      </c>
      <c r="D8" s="41" t="s">
        <v>1629</v>
      </c>
      <c r="E8" s="41" t="s">
        <v>1661</v>
      </c>
      <c r="F8" s="41" t="s">
        <v>1831</v>
      </c>
      <c r="G8" s="41" t="s">
        <v>1832</v>
      </c>
      <c r="H8" s="41" t="s">
        <v>1159</v>
      </c>
      <c r="I8" s="41" t="s">
        <v>1160</v>
      </c>
      <c r="J8" s="41" t="s">
        <v>1833</v>
      </c>
      <c r="K8" s="41" t="s">
        <v>1834</v>
      </c>
    </row>
    <row r="9" ht="22.5" customHeight="1">
      <c r="A9" s="40" t="str">
        <f>IF('Main Flow Steps'!A15="","",'Main Flow Steps'!A15)</f>
        <v>F2</v>
      </c>
      <c r="B9" s="40" t="str">
        <f>IFERROR(__xludf.DUMMYFUNCTION("IF('Main Flow Steps'!B15="""","""",IFERROR(GOOGLETRANSLATE('Main Flow Steps'!B15,""en"",""vi""),'Main Flow Steps'!B15))"),"Quản lý thành viên, mối quan hệ và quyền được ủy quyền")</f>
        <v>Quản lý thành viên, mối quan hệ và quyền được ủy quyền</v>
      </c>
      <c r="C9" s="44">
        <f>IF('Main Flow Steps'!C15="","",'Main Flow Steps'!C15)</f>
        <v>4</v>
      </c>
      <c r="D9" s="40" t="str">
        <f>IF('Main Flow Steps'!D15="","",SWITCH('Main Flow Steps'!D15,"Start","Bắt đầu","End","Kết thúc","User Action","Hành động người dùng","System Action","Hành động hệ thống","Optional User Action","Hành động tùy chọn của người dùng","Optional System Action","Hành động tùy chọn của hệ thống",'Main Flow Steps'!D15))</f>
        <v>Hành động hệ thống</v>
      </c>
      <c r="E9" s="40" t="str">
        <f>IFERROR(__xludf.DUMMYFUNCTION("IF('Main Flow Steps'!E15="""","""",IFERROR(GOOGLETRANSLATE('Main Flow Steps'!E15,""en"",""vi""),'Main Flow Steps'!E15))"),"Hệ thống")</f>
        <v>Hệ thống</v>
      </c>
      <c r="F9" s="40" t="str">
        <f>IFERROR(__xludf.DUMMYFUNCTION("IF('Main Flow Steps'!F15="""","""",IFERROR(GOOGLETRANSLATE('Main Flow Steps'!F15,""en"",""vi""),'Main Flow Steps'!F15))"),"Thêm người dùng được mời vào Không gian làm việc gia đình.")</f>
        <v>Thêm người dùng được mời vào Không gian làm việc gia đình.</v>
      </c>
      <c r="G9" s="40" t="str">
        <f>IFERROR(__xludf.DUMMYFUNCTION("IF('Main Flow Steps'!G15="""","""",IFERROR(GOOGLETRANSLATE('Main Flow Steps'!G15,""en"",""vi""),'Main Flow Steps'!G15))"),"Hệ thống tự động gán vai trò Thành viên Gia đình mặc định.")</f>
        <v>Hệ thống tự động gán vai trò Thành viên Gia đình mặc định.</v>
      </c>
      <c r="H9" s="40" t="str">
        <f>IF('Main Flow Steps'!H15="","",'Main Flow Steps'!H15)</f>
        <v>UC13, UC17</v>
      </c>
      <c r="I9" s="40" t="str">
        <f>IF('Main Flow Steps'!I15="","",'Main Flow Steps'!I15)</f>
        <v>BR-ROLE-01, BR-ROLE-03</v>
      </c>
      <c r="J9" s="40" t="str">
        <f>IFERROR(__xludf.DUMMYFUNCTION("IF('Main Flow Steps'!J15="""","""",IFERROR(GOOGLETRANSLATE('Main Flow Steps'!J15,""en"",""vi""),'Main Flow Steps'!J15))"),"Thành viên mới đã được thêm vào không gian làm việc.")</f>
        <v>Thành viên mới đã được thêm vào không gian làm việc.</v>
      </c>
      <c r="K9" s="40" t="str">
        <f>IFERROR(__xludf.DUMMYFUNCTION("IF('Main Flow Steps'!K15="""","""",IFERROR(GOOGLETRANSLATE('Main Flow Steps'!K15,""en"",""vi""),'Main Flow Steps'!K15))"),"Không nên tạo thêm một Trình quản lý Gia đình thứ hai.")</f>
        <v>Không nên tạo thêm một Trình quản lý Gia đình thứ hai.</v>
      </c>
    </row>
    <row r="10" ht="22.5" customHeight="1">
      <c r="A10" s="40" t="str">
        <f>IF('Main Flow Steps'!A20="","",'Main Flow Steps'!A20)</f>
        <v>F2</v>
      </c>
      <c r="B10" s="40" t="str">
        <f>IFERROR(__xludf.DUMMYFUNCTION("IF('Main Flow Steps'!B20="""","""",IFERROR(GOOGLETRANSLATE('Main Flow Steps'!B20,""en"",""vi""),'Main Flow Steps'!B20))"),"Quản lý thành viên, mối quan hệ và quyền được ủy quyền")</f>
        <v>Quản lý thành viên, mối quan hệ và quyền được ủy quyền</v>
      </c>
      <c r="C10" s="44">
        <f>IF('Main Flow Steps'!C20="","",'Main Flow Steps'!C20)</f>
        <v>9</v>
      </c>
      <c r="D10" s="40" t="str">
        <f>IF('Main Flow Steps'!D20="","",SWITCH('Main Flow Steps'!D20,"Start","Bắt đầu","End","Kết thúc","User Action","Hành động người dùng","System Action","Hành động hệ thống","Optional User Action","Hành động tùy chọn của người dùng","Optional System Action","Hành động tùy chọn của hệ thống",'Main Flow Steps'!D20))</f>
        <v>Kết thúc</v>
      </c>
      <c r="E10" s="40" t="str">
        <f>IFERROR(__xludf.DUMMYFUNCTION("IF('Main Flow Steps'!E20="""","""",IFERROR(GOOGLETRANSLATE('Main Flow Steps'!E20,""en"",""vi""),'Main Flow Steps'!E20))"),"Hệ thống")</f>
        <v>Hệ thống</v>
      </c>
      <c r="F10" s="40" t="str">
        <f>IFERROR(__xludf.DUMMYFUNCTION("IF('Main Flow Steps'!F20="""","""",IFERROR(GOOGLETRANSLATE('Main Flow Steps'!F20,""en"",""vi""),'Main Flow Steps'!F20))"),"Cập nhật danh sách thành viên với các thông tin về vai trò, mối quan hệ, quyền hạn và trạng thái.")</f>
        <v>Cập nhật danh sách thành viên với các thông tin về vai trò, mối quan hệ, quyền hạn và trạng thái.</v>
      </c>
      <c r="G10" s="40" t="str">
        <f>IFERROR(__xludf.DUMMYFUNCTION("IF('Main Flow Steps'!G20="""","""",IFERROR(GOOGLETRANSLATE('Main Flow Steps'!G20,""en"",""vi""),'Main Flow Steps'!G20))"),"Hệ thống hiển thị dữ liệu quản lý thành viên được cập nhật.")</f>
        <v>Hệ thống hiển thị dữ liệu quản lý thành viên được cập nhật.</v>
      </c>
      <c r="H10" s="40" t="str">
        <f>IF('Main Flow Steps'!H20="","",'Main Flow Steps'!H20)</f>
        <v>UC20</v>
      </c>
      <c r="I10" s="40" t="str">
        <f>IF('Main Flow Steps'!I20="","",'Main Flow Steps'!I20)</f>
        <v>BR-ROLE-03, BR-ROLE-04</v>
      </c>
      <c r="J10" s="40" t="str">
        <f>IFERROR(__xludf.DUMMYFUNCTION("IF('Main Flow Steps'!J20="""","""",IFERROR(GOOGLETRANSLATE('Main Flow Steps'!J20,""en"",""vi""),'Main Flow Steps'!J20))"),"Cấu trúc gia đình và quyền hạn được xác định rõ ràng.")</f>
        <v>Cấu trúc gia đình và quyền hạn được xác định rõ ràng.</v>
      </c>
      <c r="K10" s="40" t="str">
        <f>IFERROR(__xludf.DUMMYFUNCTION("IF('Main Flow Steps'!K20="""","""",IFERROR(GOOGLETRANSLATE('Main Flow Steps'!K20,""en"",""vi""),'Main Flow Steps'!K20))"),"Trạng thái cuối cùng: dữ liệu quản trị thành viên nhất quán.")</f>
        <v>Trạng thái cuối cùng: dữ liệu quản trị thành viên nhất quán.</v>
      </c>
    </row>
    <row r="11" ht="22.5" customHeight="1">
      <c r="A11" s="40" t="str">
        <f>IF('Main Flow Steps'!A39="","",'Main Flow Steps'!A39)</f>
        <v>F3</v>
      </c>
      <c r="B11" s="40" t="str">
        <f>IFERROR(__xludf.DUMMYFUNCTION("IF('Main Flow Steps'!B39="""","""",IFERROR(GOOGLETRANSLATE('Main Flow Steps'!B39,""en"",""vi""),'Main Flow Steps'!B39))"),"Lập kế hoạch tài chính gia đình và quản lý sổ quỹ")</f>
        <v>Lập kế hoạch tài chính gia đình và quản lý sổ quỹ</v>
      </c>
      <c r="C11" s="44">
        <f>IF('Main Flow Steps'!C39="","",'Main Flow Steps'!C39)</f>
        <v>9</v>
      </c>
      <c r="D11" s="40" t="str">
        <f>IF('Main Flow Steps'!D39="","",SWITCH('Main Flow Steps'!D39,"Start","Bắt đầu","End","Kết thúc","User Action","Hành động người dùng","System Action","Hành động hệ thống","Optional User Action","Hành động tùy chọn của người dùng","Optional System Action","Hành động tùy chọn của hệ thống",'Main Flow Steps'!D39))</f>
        <v>Hành động hệ thống</v>
      </c>
      <c r="E11" s="40" t="str">
        <f>IFERROR(__xludf.DUMMYFUNCTION("IF('Main Flow Steps'!E39="""","""",IFERROR(GOOGLETRANSLATE('Main Flow Steps'!E39,""en"",""vi""),'Main Flow Steps'!E39))"),"Hệ thống")</f>
        <v>Hệ thống</v>
      </c>
      <c r="F11" s="40" t="str">
        <f>IFERROR(__xludf.DUMMYFUNCTION("IF('Main Flow Steps'!F39="""","""",IFERROR(GOOGLETRANSLATE('Main Flow Steps'!F39,""en"",""vi""),'Main Flow Steps'!F39))"),"Tạo bảng so sánh giữa kế hoạch và thực tế, đồng thời hiển thị cảnh báo về ngân sách.")</f>
        <v>Tạo bảng so sánh giữa kế hoạch và thực tế, đồng thời hiển thị cảnh báo về ngân sách.</v>
      </c>
      <c r="G11" s="40" t="str">
        <f>IFERROR(__xludf.DUMMYFUNCTION("IF('Main Flow Steps'!G39="""","""",IFERROR(GOOGLETRANSLATE('Main Flow Steps'!G39,""en"",""vi""),'Main Flow Steps'!G39))"),"Hệ thống so sánh ngân sách dự kiến ​​với số liệu thực tế và xác định các rủi ro vượt ngân sách hoặc thiếu hụt ngân sách.")</f>
        <v>Hệ thống so sánh ngân sách dự kiến ​​với số liệu thực tế và xác định các rủi ro vượt ngân sách hoặc thiếu hụt ngân sách.</v>
      </c>
      <c r="H11" s="40" t="str">
        <f>IF('Main Flow Steps'!H39="","",'Main Flow Steps'!H39)</f>
        <v>UC29, UC30</v>
      </c>
      <c r="I11" s="40" t="str">
        <f>IF('Main Flow Steps'!I39="","",'Main Flow Steps'!I39)</f>
        <v>BR-FIN-05, BR-FIN-06, BR-SUB-03</v>
      </c>
      <c r="J11" s="40" t="str">
        <f>IFERROR(__xludf.DUMMYFUNCTION("IF('Main Flow Steps'!J39="""","""",IFERROR(GOOGLETRANSLATE('Main Flow Steps'!J39,""en"",""vi""),'Main Flow Steps'!J39))"),"Bạn có thể xem báo cáo tài chính và nhận thông báo về ngân sách.")</f>
        <v>Bạn có thể xem báo cáo tài chính và nhận thông báo về ngân sách.</v>
      </c>
      <c r="K11" s="40" t="str">
        <f>IFERROR(__xludf.DUMMYFUNCTION("IF('Main Flow Steps'!K39="""","""",IFERROR(GOOGLETRANSLATE('Main Flow Steps'!K39,""en"",""vi""),'Main Flow Steps'!K39))"),"Chức năng cảnh báo ngân sách là điều bắt buộc phải có sau khi hoàn thành Đánh giá 1 vì nó giúp hiểu sâu hơn về Tài chính.")</f>
        <v>Chức năng cảnh báo ngân sách là điều bắt buộc phải có sau khi hoàn thành Đánh giá 1 vì nó giúp hiểu sâu hơn về Tài chính.</v>
      </c>
    </row>
    <row r="12" ht="22.5" customHeight="1">
      <c r="A12" s="40" t="str">
        <f>IF('Main Flow Steps'!A41="","",'Main Flow Steps'!A41)</f>
        <v>F3</v>
      </c>
      <c r="B12" s="40" t="str">
        <f>IFERROR(__xludf.DUMMYFUNCTION("IF('Main Flow Steps'!B41="""","""",IFERROR(GOOGLETRANSLATE('Main Flow Steps'!B41,""en"",""vi""),'Main Flow Steps'!B41))"),"Lập kế hoạch tài chính gia đình và quản lý sổ quỹ")</f>
        <v>Lập kế hoạch tài chính gia đình và quản lý sổ quỹ</v>
      </c>
      <c r="C12" s="44">
        <f>IF('Main Flow Steps'!C41="","",'Main Flow Steps'!C41)</f>
        <v>11</v>
      </c>
      <c r="D12" s="40" t="str">
        <f>IF('Main Flow Steps'!D41="","",SWITCH('Main Flow Steps'!D41,"Start","Bắt đầu","End","Kết thúc","User Action","Hành động người dùng","System Action","Hành động hệ thống","Optional User Action","Hành động tùy chọn của người dùng","Optional System Action","Hành động tùy chọn của hệ thống",'Main Flow Steps'!D41))</f>
        <v>Kết thúc</v>
      </c>
      <c r="E12" s="40" t="str">
        <f>IFERROR(__xludf.DUMMYFUNCTION("IF('Main Flow Steps'!E41="""","""",IFERROR(GOOGLETRANSLATE('Main Flow Steps'!E41,""en"",""vi""),'Main Flow Steps'!E41))"),"Hệ thống")</f>
        <v>Hệ thống</v>
      </c>
      <c r="F12" s="40" t="str">
        <f>IFERROR(__xludf.DUMMYFUNCTION("IF('Main Flow Steps'!F41="""","""",IFERROR(GOOGLETRANSLATE('Main Flow Steps'!F41,""en"",""vi""),'Main Flow Steps'!F41))"),"Đồng bộ hóa bảng điều khiển tài chính, sổ cái quỹ gia đình, báo cáo và lịch sử.")</f>
        <v>Đồng bộ hóa bảng điều khiển tài chính, sổ cái quỹ gia đình, báo cáo và lịch sử.</v>
      </c>
      <c r="G12" s="40" t="str">
        <f>IFERROR(__xludf.DUMMYFUNCTION("IF('Main Flow Steps'!G41="""","""",IFERROR(GOOGLETRANSLATE('Main Flow Steps'!G41,""en"",""vi""),'Main Flow Steps'!G41))"),"Hệ thống này giúp tách biệt tài chính cá nhân, tài chính chung và sổ sách kế toán nội bộ.")</f>
        <v>Hệ thống này giúp tách biệt tài chính cá nhân, tài chính chung và sổ sách kế toán nội bộ.</v>
      </c>
      <c r="H12" s="40" t="str">
        <f>IF('Main Flow Steps'!H41="","",'Main Flow Steps'!H41)</f>
        <v>UC29, UC30, UC36</v>
      </c>
      <c r="I12" s="40" t="str">
        <f>IF('Main Flow Steps'!I41="","",'Main Flow Steps'!I41)</f>
        <v>BR-FIN-04, BR-FIN-06, BR-FIN-07</v>
      </c>
      <c r="J12" s="40" t="str">
        <f>IFERROR(__xludf.DUMMYFUNCTION("IF('Main Flow Steps'!J41="""","""",IFERROR(GOOGLETRANSLATE('Main Flow Steps'!J41,""en"",""vi""),'Main Flow Steps'!J41))"),"Tài chính gia đình được minh bạch trong khi quyền riêng tư cá nhân và các giới hạn pháp lý được bảo vệ.")</f>
        <v>Tài chính gia đình được minh bạch trong khi quyền riêng tư cá nhân và các giới hạn pháp lý được bảo vệ.</v>
      </c>
      <c r="K12" s="40" t="str">
        <f>IFERROR(__xludf.DUMMYFUNCTION("IF('Main Flow Steps'!K41="""","""",IFERROR(GOOGLETRANSLATE('Main Flow Steps'!K41,""en"",""vi""),'Main Flow Steps'!K41))"),"Trạng thái cuối cùng: việc lập kế hoạch/theo dõi tài chính rõ ràng và hệ thống không hoạt động như một ví điện tử thực sự.")</f>
        <v>Trạng thái cuối cùng: việc lập kế hoạch/theo dõi tài chính rõ ràng và hệ thống không hoạt động như một ví điện tử thực sự.</v>
      </c>
    </row>
    <row r="13" ht="22.5" customHeight="1">
      <c r="A13" s="40" t="str">
        <f>IF('Main Flow Steps'!A44="","",'Main Flow Steps'!A44)</f>
        <v>F4</v>
      </c>
      <c r="B13" s="40" t="str">
        <f>IFERROR(__xludf.DUMMYFUNCTION("IF('Main Flow Steps'!B44="""","""",IFERROR(GOOGLETRANSLATE('Main Flow Steps'!B44,""en"",""vi""),'Main Flow Steps'!B44))"),"Điều phối công việc nhà và quản lý việc phân chia phần thưởng")</f>
        <v>Điều phối công việc nhà và quản lý việc phân chia phần thưởng</v>
      </c>
      <c r="C13" s="44">
        <f>IF('Main Flow Steps'!C44="","",'Main Flow Steps'!C44)</f>
        <v>3</v>
      </c>
      <c r="D13" s="40" t="str">
        <f>IF('Main Flow Steps'!D44="","",SWITCH('Main Flow Steps'!D44,"Start","Bắt đầu","End","Kết thúc","User Action","Hành động người dùng","System Action","Hành động hệ thống","Optional User Action","Hành động tùy chọn của người dùng","Optional System Action","Hành động tùy chọn của hệ thống",'Main Flow Steps'!D44))</f>
        <v>Hành động hệ thống</v>
      </c>
      <c r="E13" s="40" t="str">
        <f>IFERROR(__xludf.DUMMYFUNCTION("IF('Main Flow Steps'!E44="""","""",IFERROR(GOOGLETRANSLATE('Main Flow Steps'!E44,""en"",""vi""),'Main Flow Steps'!E44))"),"Hệ thống")</f>
        <v>Hệ thống</v>
      </c>
      <c r="F13" s="40" t="str">
        <f>IFERROR(__xludf.DUMMYFUNCTION("IF('Main Flow Steps'!F44="""","""",IFERROR(GOOGLETRANSLATE('Main Flow Steps'!F44,""en"",""vi""),'Main Flow Steps'!F44))"),"Thông báo cho thành viên được chỉ định về nhiệm vụ.")</f>
        <v>Thông báo cho thành viên được chỉ định về nhiệm vụ.</v>
      </c>
      <c r="G13" s="40" t="str">
        <f>IFERROR(__xludf.DUMMYFUNCTION("IF('Main Flow Steps'!G44="""","""",IFERROR(GOOGLETRANSLATE('Main Flow Steps'!G44,""en"",""vi""),'Main Flow Steps'!G44))"),"Hệ thống tạo thông báo nhiệm vụ trong không gian làm việc của gia đình.")</f>
        <v>Hệ thống tạo thông báo nhiệm vụ trong không gian làm việc của gia đình.</v>
      </c>
      <c r="H13" s="40" t="str">
        <f>IF('Main Flow Steps'!H44="","",'Main Flow Steps'!H44)</f>
        <v>UC60</v>
      </c>
      <c r="I13" s="40" t="str">
        <f>IF('Main Flow Steps'!I44="","",'Main Flow Steps'!I44)</f>
        <v>BR-COM-01</v>
      </c>
      <c r="J13" s="40" t="str">
        <f>IFERROR(__xludf.DUMMYFUNCTION("IF('Main Flow Steps'!J44="""","""",IFERROR(GOOGLETRANSLATE('Main Flow Steps'!J44,""en"",""vi""),'Main Flow Steps'!J44))"),"Thành viên được chỉ định sẽ nhận được thông báo nhiệm vụ.")</f>
        <v>Thành viên được chỉ định sẽ nhận được thông báo nhiệm vụ.</v>
      </c>
      <c r="K13" s="40" t="str">
        <f>IFERROR(__xludf.DUMMYFUNCTION("IF('Main Flow Steps'!K44="""","""",IFERROR(GOOGLETRANSLATE('Main Flow Steps'!K44,""en"",""vi""),'Main Flow Steps'!K44))"),"Thông báo nhiệm vụ hỗ trợ quy trình làm việc.")</f>
        <v>Thông báo nhiệm vụ hỗ trợ quy trình làm việc.</v>
      </c>
    </row>
    <row r="14" ht="22.5" customHeight="1">
      <c r="A14" s="40" t="str">
        <f>IF('Main Flow Steps'!A49="","",'Main Flow Steps'!A49)</f>
        <v>F4</v>
      </c>
      <c r="B14" s="40" t="str">
        <f>IFERROR(__xludf.DUMMYFUNCTION("IF('Main Flow Steps'!B49="""","""",IFERROR(GOOGLETRANSLATE('Main Flow Steps'!B49,""en"",""vi""),'Main Flow Steps'!B49))"),"Điều phối công việc nhà và quản lý việc phân chia phần thưởng")</f>
        <v>Điều phối công việc nhà và quản lý việc phân chia phần thưởng</v>
      </c>
      <c r="C14" s="44">
        <f>IF('Main Flow Steps'!C49="","",'Main Flow Steps'!C49)</f>
        <v>8</v>
      </c>
      <c r="D14" s="40" t="str">
        <f>IF('Main Flow Steps'!D49="","",SWITCH('Main Flow Steps'!D49,"Start","Bắt đầu","End","Kết thúc","User Action","Hành động người dùng","System Action","Hành động hệ thống","Optional User Action","Hành động tùy chọn của người dùng","Optional System Action","Hành động tùy chọn của hệ thống",'Main Flow Steps'!D49))</f>
        <v>Hành động hệ thống</v>
      </c>
      <c r="E14" s="40" t="str">
        <f>IFERROR(__xludf.DUMMYFUNCTION("IF('Main Flow Steps'!E49="""","""",IFERROR(GOOGLETRANSLATE('Main Flow Steps'!E49,""en"",""vi""),'Main Flow Steps'!E49))"),"Hệ thống")</f>
        <v>Hệ thống</v>
      </c>
      <c r="F14" s="40" t="str">
        <f>IFERROR(__xludf.DUMMYFUNCTION("IF('Main Flow Steps'!F49="""","""",IFERROR(GOOGLETRANSLATE('Main Flow Steps'!F49,""en"",""vi""),'Main Flow Steps'!F49))"),"Nếu được chấp thuận và nhiệm vụ có phần thưởng, hãy tạo bản ghi thanh toán phần thưởng.")</f>
        <v>Nếu được chấp thuận và nhiệm vụ có phần thưởng, hãy tạo bản ghi thanh toán phần thưởng.</v>
      </c>
      <c r="G14" s="40" t="str">
        <f>IFERROR(__xludf.DUMMYFUNCTION("IF('Main Flow Steps'!G49="""","""",IFERROR(GOOGLETRANSLATE('Main Flow Steps'!G49,""en"",""vi""),'Main Flow Steps'!G49))"),"Hệ thống tạo phiếu thanh toán thưởng với trạng thái ""Đang chờ thanh toán"" và gửi thông báo.")</f>
        <v>Hệ thống tạo phiếu thanh toán thưởng với trạng thái "Đang chờ thanh toán" và gửi thông báo.</v>
      </c>
      <c r="H14" s="40" t="str">
        <f>IF('Main Flow Steps'!H49="","",'Main Flow Steps'!H49)</f>
        <v>UC45, UC60</v>
      </c>
      <c r="I14" s="40" t="str">
        <f>IF('Main Flow Steps'!I49="","",'Main Flow Steps'!I49)</f>
        <v>BR-TASK-04, BR-REW-01, BR-REW-06</v>
      </c>
      <c r="J14" s="40" t="str">
        <f>IFERROR(__xludf.DUMMYFUNCTION("IF('Main Flow Steps'!J49="""","""",IFERROR(GOOGLETRANSLATE('Main Flow Steps'!J49,""en"",""vi""),'Main Flow Steps'!J49))"),"Mục ""Phần thưởng đang chờ giải quyết"" được tạo.")</f>
        <v>Mục "Phần thưởng đang chờ giải quyết" được tạo.</v>
      </c>
      <c r="K14" s="40" t="str">
        <f>IFERROR(__xludf.DUMMYFUNCTION("IF('Main Flow Steps'!K49="""","""",IFERROR(GOOGLETRANSLATE('Main Flow Steps'!K49,""en"",""vi""),'Main Flow Steps'!K49))"),"Thông báo: Nhiệm vụ đã được phê duyệt. Phần thưởng đang chờ thanh toán bên ngoài.")</f>
        <v>Thông báo: Nhiệm vụ đã được phê duyệt. Phần thưởng đang chờ thanh toán bên ngoài.</v>
      </c>
    </row>
    <row r="15" ht="22.5" customHeight="1">
      <c r="A15" s="40" t="str">
        <f>IF('Main Flow Steps'!A57="","",'Main Flow Steps'!A57)</f>
        <v>F5</v>
      </c>
      <c r="B15" s="40" t="str">
        <f>IFERROR(__xludf.DUMMYFUNCTION("IF('Main Flow Steps'!B57="""","""",IFERROR(GOOGLETRANSLATE('Main Flow Steps'!B57,""en"",""vi""),'Main Flow Steps'!B57))"),"Cảnh báo SOS, An toàn đeo được và Quản lý phản ứng an toàn")</f>
        <v>Cảnh báo SOS, An toàn đeo được và Quản lý phản ứng an toàn</v>
      </c>
      <c r="C15" s="44">
        <f>IF('Main Flow Steps'!C57="","",'Main Flow Steps'!C57)</f>
        <v>3</v>
      </c>
      <c r="D15" s="40" t="str">
        <f>IF('Main Flow Steps'!D57="","",SWITCH('Main Flow Steps'!D57,"Start","Bắt đầu","End","Kết thúc","User Action","Hành động người dùng","System Action","Hành động hệ thống","Optional User Action","Hành động tùy chọn của người dùng","Optional System Action","Hành động tùy chọn của hệ thống",'Main Flow Steps'!D57))</f>
        <v>Hành động hệ thống</v>
      </c>
      <c r="E15" s="40" t="str">
        <f>IFERROR(__xludf.DUMMYFUNCTION("IF('Main Flow Steps'!E57="""","""",IFERROR(GOOGLETRANSLATE('Main Flow Steps'!E57,""en"",""vi""),'Main Flow Steps'!E57))"),"Hệ thống")</f>
        <v>Hệ thống</v>
      </c>
      <c r="F15" s="40" t="str">
        <f>IFERROR(__xludf.DUMMYFUNCTION("IF('Main Flow Steps'!F57="""","""",IFERROR(GOOGLETRANSLATE('Main Flow Steps'!F57,""en"",""vi""),'Main Flow Steps'!F57))"),"Tạo cảnh báo SOS với trạng thái Hoạt động.")</f>
        <v>Tạo cảnh báo SOS với trạng thái Hoạt động.</v>
      </c>
      <c r="G15" s="40" t="str">
        <f>IFERROR(__xludf.DUMMYFUNCTION("IF('Main Flow Steps'!G57="""","""",IFERROR(GOOGLETRANSLATE('Main Flow Steps'!G57,""en"",""vi""),'Main Flow Steps'!G57))"),"Hệ thống lưu trữ thông tin về thành viên/thiết bị kích hoạt, thời gian, nguồn, trạng thái và vị trí ban đầu (nếu có).")</f>
        <v>Hệ thống lưu trữ thông tin về thành viên/thiết bị kích hoạt, thời gian, nguồn, trạng thái và vị trí ban đầu (nếu có).</v>
      </c>
      <c r="H15" s="40" t="str">
        <f>IF('Main Flow Steps'!H57="","",'Main Flow Steps'!H57)</f>
        <v>UC50, UC57, UC58</v>
      </c>
      <c r="I15" s="40" t="str">
        <f>IF('Main Flow Steps'!I57="","",'Main Flow Steps'!I57)</f>
        <v>BR-SOS-01, BR-SOS-04, BR-SOS-05</v>
      </c>
      <c r="J15" s="40" t="str">
        <f>IFERROR(__xludf.DUMMYFUNCTION("IF('Main Flow Steps'!J57="""","""",IFERROR(GOOGLETRANSLATE('Main Flow Steps'!J57,""en"",""vi""),'Main Flow Steps'!J57))"),"Hiện đang có cảnh báo SOS.")</f>
        <v>Hiện đang có cảnh báo SOS.</v>
      </c>
      <c r="K15" s="40" t="str">
        <f>IFERROR(__xludf.DUMMYFUNCTION("IF('Main Flow Steps'!K57="""","""",IFERROR(GOOGLETRANSLATE('Main Flow Steps'!K57,""en"",""vi""),'Main Flow Steps'!K57))"),"Nguồn phát có thể là thiết bị di động, thiết bị đeo được hoặc thiết bị mô phỏng.")</f>
        <v>Nguồn phát có thể là thiết bị di động, thiết bị đeo được hoặc thiết bị mô phỏng.</v>
      </c>
    </row>
    <row r="16" ht="22.5" customHeight="1">
      <c r="A16" s="40" t="str">
        <f>IF('Main Flow Steps'!A58="","",'Main Flow Steps'!A58)</f>
        <v>F5</v>
      </c>
      <c r="B16" s="40" t="str">
        <f>IFERROR(__xludf.DUMMYFUNCTION("IF('Main Flow Steps'!B58="""","""",IFERROR(GOOGLETRANSLATE('Main Flow Steps'!B58,""en"",""vi""),'Main Flow Steps'!B58))"),"Cảnh báo SOS, An toàn đeo được và Quản lý phản ứng an toàn")</f>
        <v>Cảnh báo SOS, An toàn đeo được và Quản lý phản ứng an toàn</v>
      </c>
      <c r="C16" s="44">
        <f>IF('Main Flow Steps'!C58="","",'Main Flow Steps'!C58)</f>
        <v>4</v>
      </c>
      <c r="D16" s="40" t="str">
        <f>IF('Main Flow Steps'!D58="","",SWITCH('Main Flow Steps'!D58,"Start","Bắt đầu","End","Kết thúc","User Action","Hành động người dùng","System Action","Hành động hệ thống","Optional User Action","Hành động tùy chọn của người dùng","Optional System Action","Hành động tùy chọn của hệ thống",'Main Flow Steps'!D58))</f>
        <v>Hành động hệ thống</v>
      </c>
      <c r="E16" s="40" t="str">
        <f>IFERROR(__xludf.DUMMYFUNCTION("IF('Main Flow Steps'!E58="""","""",IFERROR(GOOGLETRANSLATE('Main Flow Steps'!E58,""en"",""vi""),'Main Flow Steps'!E58))"),"Hệ thống")</f>
        <v>Hệ thống</v>
      </c>
      <c r="F16" s="40" t="str">
        <f>IFERROR(__xludf.DUMMYFUNCTION("IF('Main Flow Steps'!F58="""","""",IFERROR(GOOGLETRANSLATE('Main Flow Steps'!F58,""en"",""vi""),'Main Flow Steps'!F58))"),"Gửi thông báo khẩn cấp SOS cho các thành viên trong gia đình.")</f>
        <v>Gửi thông báo khẩn cấp SOS cho các thành viên trong gia đình.</v>
      </c>
      <c r="G16" s="40" t="str">
        <f>IFERROR(__xludf.DUMMYFUNCTION("IF('Main Flow Steps'!G58="""","""",IFERROR(GOOGLETRANSLATE('Main Flow Steps'!G58,""en"",""vi""),'Main Flow Steps'!G58))"),"Hệ thống ưu tiên thông báo khẩn cấp (SOS) hơn các thông báo thông thường và hiển thị thông tin về nguồn/vị trí khi có sẵn.")</f>
        <v>Hệ thống ưu tiên thông báo khẩn cấp (SOS) hơn các thông báo thông thường và hiển thị thông tin về nguồn/vị trí khi có sẵn.</v>
      </c>
      <c r="H16" s="40" t="str">
        <f>IF('Main Flow Steps'!H58="","",'Main Flow Steps'!H58)</f>
        <v>UC51, UC60</v>
      </c>
      <c r="I16" s="40" t="str">
        <f>IF('Main Flow Steps'!I58="","",'Main Flow Steps'!I58)</f>
        <v>BR-SOS-02, BR-COM-01</v>
      </c>
      <c r="J16" s="40" t="str">
        <f>IFERROR(__xludf.DUMMYFUNCTION("IF('Main Flow Steps'!J58="""","""",IFERROR(GOOGLETRANSLATE('Main Flow Steps'!J58,""en"",""vi""),'Main Flow Steps'!J58))"),"Gia đình nhận được tín hiệu khẩn cấp.")</f>
        <v>Gia đình nhận được tín hiệu khẩn cấp.</v>
      </c>
      <c r="K16" s="40" t="str">
        <f>IFERROR(__xludf.DUMMYFUNCTION("IF('Main Flow Steps'!K58="""","""",IFERROR(GOOGLETRANSLATE('Main Flow Steps'!K58,""en"",""vi""),'Main Flow Steps'!K58))"),"Đây là thời điểm trình diễn quan trọng để đảm bảo an toàn trong quy trình.")</f>
        <v>Đây là thời điểm trình diễn quan trọng để đảm bảo an toàn trong quy trình.</v>
      </c>
    </row>
    <row r="17" ht="22.5" customHeight="1">
      <c r="A17" s="40" t="str">
        <f>IF('Main Flow Steps'!A60="","",'Main Flow Steps'!A60)</f>
        <v>F5</v>
      </c>
      <c r="B17" s="40" t="str">
        <f>IFERROR(__xludf.DUMMYFUNCTION("IF('Main Flow Steps'!B60="""","""",IFERROR(GOOGLETRANSLATE('Main Flow Steps'!B60,""en"",""vi""),'Main Flow Steps'!B60))"),"Cảnh báo SOS, An toàn đeo được và Quản lý phản ứng an toàn")</f>
        <v>Cảnh báo SOS, An toàn đeo được và Quản lý phản ứng an toàn</v>
      </c>
      <c r="C17" s="44">
        <f>IF('Main Flow Steps'!C60="","",'Main Flow Steps'!C60)</f>
        <v>6</v>
      </c>
      <c r="D17" s="40" t="str">
        <f>IF('Main Flow Steps'!D60="","",SWITCH('Main Flow Steps'!D60,"Start","Bắt đầu","End","Kết thúc","User Action","Hành động người dùng","System Action","Hành động hệ thống","Optional User Action","Hành động tùy chọn của người dùng","Optional System Action","Hành động tùy chọn của hệ thống",'Main Flow Steps'!D60))</f>
        <v>Hành động hệ thống</v>
      </c>
      <c r="E17" s="40" t="str">
        <f>IFERROR(__xludf.DUMMYFUNCTION("IF('Main Flow Steps'!E60="""","""",IFERROR(GOOGLETRANSLATE('Main Flow Steps'!E60,""en"",""vi""),'Main Flow Steps'!E60))"),"Hệ thống")</f>
        <v>Hệ thống</v>
      </c>
      <c r="F17" s="40" t="str">
        <f>IFERROR(__xludf.DUMMYFUNCTION("IF('Main Flow Steps'!F60="""","""",IFERROR(GOOGLETRANSLATE('Main Flow Steps'!F60,""en"",""vi""),'Main Flow Steps'!F60))"),"Chỉ theo dõi vị trí cơ bản/trực tiếp khi chức năng SOS được kích hoạt và dữ liệu về quyền/vị trí có sẵn.")</f>
        <v>Chỉ theo dõi vị trí cơ bản/trực tiếp khi chức năng SOS được kích hoạt và dữ liệu về quyền/vị trí có sẵn.</v>
      </c>
      <c r="G17" s="40" t="str">
        <f>IFERROR(__xludf.DUMMYFUNCTION("IF('Main Flow Steps'!G60="""","""",IFERROR(GOOGLETRANSLATE('Main Flow Steps'!G60,""en"",""vi""),'Main Flow Steps'!G60))"),"Hệ thống ghi lại lịch sử lộ trình/vị trí dựa trên tình trạng sẵn có và quyền truy cập.")</f>
        <v>Hệ thống ghi lại lịch sử lộ trình/vị trí dựa trên tình trạng sẵn có và quyền truy cập.</v>
      </c>
      <c r="H17" s="40" t="str">
        <f>IF('Main Flow Steps'!H60="","",'Main Flow Steps'!H60)</f>
        <v>UC54, UC59</v>
      </c>
      <c r="I17" s="40" t="str">
        <f>IF('Main Flow Steps'!I60="","",'Main Flow Steps'!I60)</f>
        <v>BR-SOS-04, BR-SOS-05</v>
      </c>
      <c r="J17" s="40" t="str">
        <f>IFERROR(__xludf.DUMMYFUNCTION("IF('Main Flow Steps'!J60="""","""",IFERROR(GOOGLETRANSLATE('Main Flow Steps'!J60,""en"",""vi""),'Main Flow Steps'!J60))"),"Lịch sử vị trí/lộ trình SOS được ghi lại.")</f>
        <v>Lịch sử vị trí/lộ trình SOS được ghi lại.</v>
      </c>
      <c r="K17" s="40" t="str">
        <f>IFERROR(__xludf.DUMMYFUNCTION("IF('Main Flow Steps'!K60="""","""",IFERROR(GOOGLETRANSLATE('Main Flow Steps'!K60,""en"",""vi""),'Main Flow Steps'!K60))"),"Tính năng theo dõi SOS chủ động cơ bản hiện đang được triển khai; định vị GPS liên tục tiên tiến sẽ là mục tiêu trong tương lai.")</f>
        <v>Tính năng theo dõi SOS chủ động cơ bản hiện đang được triển khai; định vị GPS liên tục tiên tiến sẽ là mục tiêu trong tương lai.</v>
      </c>
    </row>
    <row r="18" ht="22.5" customHeight="1">
      <c r="A18" s="40" t="str">
        <f>IF('Main Flow Steps'!A63="","",'Main Flow Steps'!A63)</f>
        <v>F5</v>
      </c>
      <c r="B18" s="40" t="str">
        <f>IFERROR(__xludf.DUMMYFUNCTION("IF('Main Flow Steps'!B63="""","""",IFERROR(GOOGLETRANSLATE('Main Flow Steps'!B63,""en"",""vi""),'Main Flow Steps'!B63))"),"Cảnh báo SOS, An toàn đeo được và Quản lý phản ứng an toàn")</f>
        <v>Cảnh báo SOS, An toàn đeo được và Quản lý phản ứng an toàn</v>
      </c>
      <c r="C18" s="44">
        <f>IF('Main Flow Steps'!C63="","",'Main Flow Steps'!C63)</f>
        <v>9</v>
      </c>
      <c r="D18" s="40" t="str">
        <f>IF('Main Flow Steps'!D63="","",SWITCH('Main Flow Steps'!D63,"Start","Bắt đầu","End","Kết thúc","User Action","Hành động người dùng","System Action","Hành động hệ thống","Optional User Action","Hành động tùy chọn của người dùng","Optional System Action","Hành động tùy chọn của hệ thống",'Main Flow Steps'!D63))</f>
        <v>Kết thúc</v>
      </c>
      <c r="E18" s="40" t="str">
        <f>IFERROR(__xludf.DUMMYFUNCTION("IF('Main Flow Steps'!E63="""","""",IFERROR(GOOGLETRANSLATE('Main Flow Steps'!E63,""en"",""vi""),'Main Flow Steps'!E63))"),"Hệ thống")</f>
        <v>Hệ thống</v>
      </c>
      <c r="F18" s="40" t="str">
        <f>IFERROR(__xludf.DUMMYFUNCTION("IF('Main Flow Steps'!F63="""","""",IFERROR(GOOGLETRANSLATE('Main Flow Steps'!F63,""en"",""vi""),'Main Flow Steps'!F63))"),"Lưu trữ lịch sử SOS và hiển thị trạng thái cảnh báo cuối cùng.")</f>
        <v>Lưu trữ lịch sử SOS và hiển thị trạng thái cảnh báo cuối cùng.</v>
      </c>
      <c r="G18" s="40" t="str">
        <f>IFERROR(__xludf.DUMMYFUNCTION("IF('Main Flow Steps'!G63="""","""",IFERROR(GOOGLETRANSLATE('Main Flow Steps'!G63,""en"",""vi""),'Main Flow Steps'!G63))"),"Hệ thống sẽ đóng cửa sổ hiển thị cảnh báo đang hoạt động và lưu giữ lịch sử để có thể theo dõi.")</f>
        <v>Hệ thống sẽ đóng cửa sổ hiển thị cảnh báo đang hoạt động và lưu giữ lịch sử để có thể theo dõi.</v>
      </c>
      <c r="H18" s="40" t="str">
        <f>IF('Main Flow Steps'!H63="","",'Main Flow Steps'!H63)</f>
        <v>UC53, UC54</v>
      </c>
      <c r="I18" s="40" t="str">
        <f>IF('Main Flow Steps'!I63="","",'Main Flow Steps'!I63)</f>
        <v>BR-SOS-03, BR-SOS-04</v>
      </c>
      <c r="J18" s="40" t="str">
        <f>IFERROR(__xludf.DUMMYFUNCTION("IF('Main Flow Steps'!J63="""","""",IFERROR(GOOGLETRANSLATE('Main Flow Steps'!J63,""en"",""vi""),'Main Flow Steps'!J63))"),"Sự kiện SOS có thể được xem xét lại sau khi đã được giải quyết.")</f>
        <v>Sự kiện SOS có thể được xem xét lại sau khi đã được giải quyết.</v>
      </c>
      <c r="K18" s="40" t="str">
        <f>IFERROR(__xludf.DUMMYFUNCTION("IF('Main Flow Steps'!K63="""","""",IFERROR(GOOGLETRANSLATE('Main Flow Steps'!K63,""en"",""vi""),'Main Flow Steps'!K63))"),"Trạng thái cuối cùng: Hoạt động đảm bảo an toàn cho gia đình đã hoàn tất và có thể truy vết.")</f>
        <v>Trạng thái cuối cùng: Hoạt động đảm bảo an toàn cho gia đình đã hoàn tất và có thể truy vết.</v>
      </c>
    </row>
    <row r="19" ht="22.5" customHeight="1">
      <c r="A19" s="41" t="s">
        <v>504</v>
      </c>
      <c r="B19" s="41" t="s">
        <v>1784</v>
      </c>
      <c r="C19" s="43">
        <v>1.0</v>
      </c>
      <c r="D19" s="41" t="s">
        <v>1628</v>
      </c>
      <c r="E19" s="41" t="s">
        <v>1795</v>
      </c>
      <c r="F19" s="41" t="s">
        <v>1835</v>
      </c>
      <c r="G19" s="41" t="s">
        <v>1836</v>
      </c>
      <c r="H19" s="41" t="s">
        <v>1141</v>
      </c>
      <c r="I19" s="41" t="s">
        <v>1142</v>
      </c>
      <c r="J19" s="41" t="s">
        <v>1837</v>
      </c>
      <c r="K19" s="41" t="s">
        <v>1838</v>
      </c>
    </row>
    <row r="20" ht="22.5" customHeight="1">
      <c r="A20" s="41" t="s">
        <v>504</v>
      </c>
      <c r="B20" s="41" t="s">
        <v>1784</v>
      </c>
      <c r="C20" s="43">
        <v>2.0</v>
      </c>
      <c r="D20" s="41" t="s">
        <v>1630</v>
      </c>
      <c r="E20" s="41" t="s">
        <v>1795</v>
      </c>
      <c r="F20" s="41" t="s">
        <v>1839</v>
      </c>
      <c r="G20" s="41" t="s">
        <v>1840</v>
      </c>
      <c r="H20" s="41" t="s">
        <v>1141</v>
      </c>
      <c r="I20" s="41" t="s">
        <v>1148</v>
      </c>
      <c r="J20" s="41" t="s">
        <v>1841</v>
      </c>
      <c r="K20" s="41" t="s">
        <v>1842</v>
      </c>
    </row>
    <row r="21" ht="22.5" customHeight="1">
      <c r="A21" s="41" t="s">
        <v>504</v>
      </c>
      <c r="B21" s="41" t="s">
        <v>1784</v>
      </c>
      <c r="C21" s="43">
        <v>6.0</v>
      </c>
      <c r="D21" s="41" t="s">
        <v>1630</v>
      </c>
      <c r="E21" s="41" t="s">
        <v>1843</v>
      </c>
      <c r="F21" s="41" t="s">
        <v>1844</v>
      </c>
      <c r="G21" s="41" t="s">
        <v>1845</v>
      </c>
      <c r="H21" s="41" t="s">
        <v>1165</v>
      </c>
      <c r="I21" s="41" t="s">
        <v>1166</v>
      </c>
      <c r="J21" s="41" t="s">
        <v>1846</v>
      </c>
      <c r="K21" s="41" t="s">
        <v>1847</v>
      </c>
    </row>
    <row r="22" ht="22.5" customHeight="1">
      <c r="A22" s="40" t="str">
        <f>IF('Main Flow Steps'!A14="","",'Main Flow Steps'!A14)</f>
        <v>F2</v>
      </c>
      <c r="B22" s="40" t="str">
        <f>IFERROR(__xludf.DUMMYFUNCTION("IF('Main Flow Steps'!B14="""","""",IFERROR(GOOGLETRANSLATE('Main Flow Steps'!B14,""en"",""vi""),'Main Flow Steps'!B14))"),"Quản lý thành viên, mối quan hệ và quyền được ủy quyền")</f>
        <v>Quản lý thành viên, mối quan hệ và quyền được ủy quyền</v>
      </c>
      <c r="C22" s="44">
        <f>IF('Main Flow Steps'!C14="","",'Main Flow Steps'!C14)</f>
        <v>3</v>
      </c>
      <c r="D22" s="40" t="str">
        <f>IF('Main Flow Steps'!D14="","",SWITCH('Main Flow Steps'!D14,"Start","Bắt đầu","End","Kết thúc","User Action","Hành động người dùng","System Action","Hành động hệ thống","Optional User Action","Hành động tùy chọn của người dùng","Optional System Action","Hành động tùy chọn của hệ thống",'Main Flow Steps'!D14))</f>
        <v>Hành động người dùng</v>
      </c>
      <c r="E22" s="40" t="str">
        <f>IFERROR(__xludf.DUMMYFUNCTION("IF('Main Flow Steps'!E14="""","""",IFERROR(GOOGLETRANSLATE('Main Flow Steps'!E14,""en"",""vi""),'Main Flow Steps'!E14))"),"Người dùng được mời")</f>
        <v>Người dùng được mời</v>
      </c>
      <c r="F22" s="40" t="str">
        <f>IFERROR(__xludf.DUMMYFUNCTION("IF('Main Flow Steps'!F14="""","""",IFERROR(GOOGLETRANSLATE('Main Flow Steps'!F14,""en"",""vi""),'Main Flow Steps'!F14))"),"Mở đường dẫn mời và đăng nhập hoặc đăng ký.")</f>
        <v>Mở đường dẫn mời và đăng nhập hoặc đăng ký.</v>
      </c>
      <c r="G22" s="40" t="str">
        <f>IFERROR(__xludf.DUMMYFUNCTION("IF('Main Flow Steps'!G14="""","""",IFERROR(GOOGLETRANSLATE('Main Flow Steps'!G14,""en"",""vi""),'Main Flow Steps'!G14))"),"Hệ thống xác thực trạng thái và thời hạn hết hạn của mã thông báo.")</f>
        <v>Hệ thống xác thực trạng thái và thời hạn hết hạn của mã thông báo.</v>
      </c>
      <c r="H22" s="40" t="str">
        <f>IF('Main Flow Steps'!H14="","",'Main Flow Steps'!H14)</f>
        <v>UC13</v>
      </c>
      <c r="I22" s="40" t="str">
        <f>IF('Main Flow Steps'!I14="","",'Main Flow Steps'!I14)</f>
        <v>BR-INV-01</v>
      </c>
      <c r="J22" s="40" t="str">
        <f>IFERROR(__xludf.DUMMYFUNCTION("IF('Main Flow Steps'!J14="""","""",IFERROR(GOOGLETRANSLATE('Main Flow Steps'!J14,""en"",""vi""),'Main Flow Steps'!J14))"),"Người dùng được mời được phép tiếp tục nếu lời mời hợp lệ.")</f>
        <v>Người dùng được mời được phép tiếp tục nếu lời mời hợp lệ.</v>
      </c>
      <c r="K22" s="40" t="str">
        <f>IFERROR(__xludf.DUMMYFUNCTION("IF('Main Flow Steps'!K14="""","""",IFERROR(GOOGLETRANSLATE('Main Flow Steps'!K14,""en"",""vi""),'Main Flow Steps'!K14))"),"Những lời mời không hợp lệ hoặc đã hết hạn phải bị từ chối.")</f>
        <v>Những lời mời không hợp lệ hoặc đã hết hạn phải bị từ chối.</v>
      </c>
    </row>
    <row r="23" ht="22.5" customHeight="1">
      <c r="A23" s="40" t="str">
        <f>IF('Main Flow Steps'!A22="","",'Main Flow Steps'!A22)</f>
        <v>F3</v>
      </c>
      <c r="B23" s="40" t="str">
        <f>IFERROR(__xludf.DUMMYFUNCTION("IF('Main Flow Steps'!B22="""","""",IFERROR(GOOGLETRANSLATE('Main Flow Steps'!B22,""en"",""vi""),'Main Flow Steps'!B22))"),"Lập kế hoạch tài chính gia đình, sổ quỹ và ngân sách dựa trên mục tiêu.")</f>
        <v>Lập kế hoạch tài chính gia đình, sổ quỹ và ngân sách dựa trên mục tiêu.</v>
      </c>
      <c r="C23" s="44">
        <f>IF('Main Flow Steps'!C22="","",'Main Flow Steps'!C22)</f>
        <v>2</v>
      </c>
      <c r="D23" s="40" t="str">
        <f>IF('Main Flow Steps'!D22="","",SWITCH('Main Flow Steps'!D22,"Start","Bắt đầu","End","Kết thúc","User Action","Hành động người dùng","System Action","Hành động hệ thống","Optional User Action","Hành động tùy chọn của người dùng","Optional System Action","Hành động tùy chọn của hệ thống",'Main Flow Steps'!D22))</f>
        <v>Hành động người dùng</v>
      </c>
      <c r="E23" s="40" t="str">
        <f>IFERROR(__xludf.DUMMYFUNCTION("IF('Main Flow Steps'!E22="""","""",IFERROR(GOOGLETRANSLATE('Main Flow Steps'!E22,""en"",""vi""),'Main Flow Steps'!E22))"),"Quản gia/Phó quản gia")</f>
        <v>Quản gia/Phó quản gia</v>
      </c>
      <c r="F23" s="40" t="str">
        <f>IFERROR(__xludf.DUMMYFUNCTION("IF('Main Flow Steps'!F22="""","""",IFERROR(GOOGLETRANSLATE('Main Flow Steps'!F22,""en"",""vi""),'Main Flow Steps'!F22))"),"Hãy chọn mô hình tài chính gia đình như 5 hũ, 80/20 hoặc tùy chỉnh.")</f>
        <v>Hãy chọn mô hình tài chính gia đình như 5 hũ, 80/20 hoặc tùy chỉnh.</v>
      </c>
      <c r="G23" s="40" t="str">
        <f>IFERROR(__xludf.DUMMYFUNCTION("IF('Main Flow Steps'!G22="""","""",IFERROR(GOOGLETRANSLATE('Main Flow Steps'!G22,""en"",""vi""),'Main Flow Steps'!G22))"),"Hệ thống áp dụng mô hình đã chọn làm cơ sở cho việc phân bổ ngân sách, quỹ/ngân sách và cảnh báo.")</f>
        <v>Hệ thống áp dụng mô hình đã chọn làm cơ sở cho việc phân bổ ngân sách, quỹ/ngân sách và cảnh báo.</v>
      </c>
      <c r="H23" s="40" t="str">
        <f>IF('Main Flow Steps'!H22="","",'Main Flow Steps'!H22)</f>
        <v>UC82</v>
      </c>
      <c r="I23" s="40" t="str">
        <f>IF('Main Flow Steps'!I22="","",'Main Flow Steps'!I22)</f>
        <v>BR-FIN-MODEL-01</v>
      </c>
      <c r="J23" s="40" t="str">
        <f>IFERROR(__xludf.DUMMYFUNCTION("IF('Main Flow Steps'!J22="""","""",IFERROR(GOOGLETRANSLATE('Main Flow Steps'!J22,""en"",""vi""),'Main Flow Steps'!J22))"),"Mô hình tài chính đã được lựa chọn.")</f>
        <v>Mô hình tài chính đã được lựa chọn.</v>
      </c>
      <c r="K23" s="40" t="str">
        <f>IFERROR(__xludf.DUMMYFUNCTION("IF('Main Flow Steps'!K22="""","""",IFERROR(GOOGLETRANSLATE('Main Flow Steps'!K22,""en"",""vi""),'Main Flow Steps'!K22))"),"Bổ sung từ ghi chú của người hướng dẫn ngày 02/06; đây là một lớp thông tin bổ sung, không phải là sự thay thế cho các hồ sơ tài chính hiện có.")</f>
        <v>Bổ sung từ ghi chú của người hướng dẫn ngày 02/06; đây là một lớp thông tin bổ sung, không phải là sự thay thế cho các hồ sơ tài chính hiện có.</v>
      </c>
    </row>
    <row r="24" ht="22.5" customHeight="1">
      <c r="A24" s="40" t="str">
        <f>IF('Main Flow Steps'!A23="","",'Main Flow Steps'!A23)</f>
        <v>F3</v>
      </c>
      <c r="B24" s="40" t="str">
        <f>IFERROR(__xludf.DUMMYFUNCTION("IF('Main Flow Steps'!B23="""","""",IFERROR(GOOGLETRANSLATE('Main Flow Steps'!B23,""en"",""vi""),'Main Flow Steps'!B23))"),"Lập kế hoạch tài chính gia đình, sổ quỹ và ngân sách dựa trên mục tiêu.")</f>
        <v>Lập kế hoạch tài chính gia đình, sổ quỹ và ngân sách dựa trên mục tiêu.</v>
      </c>
      <c r="C24" s="44">
        <f>IF('Main Flow Steps'!C23="","",'Main Flow Steps'!C23)</f>
        <v>3</v>
      </c>
      <c r="D24" s="40" t="str">
        <f>IF('Main Flow Steps'!D23="","",SWITCH('Main Flow Steps'!D23,"Start","Bắt đầu","End","Kết thúc","User Action","Hành động người dùng","System Action","Hành động hệ thống","Optional User Action","Hành động tùy chọn của người dùng","Optional System Action","Hành động tùy chọn của hệ thống",'Main Flow Steps'!D23))</f>
        <v>Hành động người dùng</v>
      </c>
      <c r="E24" s="40" t="str">
        <f>IFERROR(__xludf.DUMMYFUNCTION("IF('Main Flow Steps'!E23="""","""",IFERROR(GOOGLETRANSLATE('Main Flow Steps'!E23,""en"",""vi""),'Main Flow Steps'!E23))"),"Quản gia/Phó quản gia")</f>
        <v>Quản gia/Phó quản gia</v>
      </c>
      <c r="F24" s="40" t="str">
        <f>IFERROR(__xludf.DUMMYFUNCTION("IF('Main Flow Steps'!F23="""","""",IFERROR(GOOGLETRANSLATE('Main Flow Steps'!F23,""en"",""vi""),'Main Flow Steps'!F23))"),"Thiết lập các quỹ/ngân sách tài chính và quy tắc phân bổ.")</f>
        <v>Thiết lập các quỹ/ngân sách tài chính và quy tắc phân bổ.</v>
      </c>
      <c r="G24" s="40" t="str">
        <f>IFERROR(__xludf.DUMMYFUNCTION("IF('Main Flow Steps'!G23="""","""",IFERROR(GOOGLETRANSLATE('Main Flow Steps'!G23,""en"",""vi""),'Main Flow Steps'!G23))"),"Hệ thống lưu trữ tên quỹ/hũ, mục đích, ngưỡng/tỷ lệ phân bổ và các quy tắc về khả năng hiển thị/quyền truy cập.")</f>
        <v>Hệ thống lưu trữ tên quỹ/hũ, mục đích, ngưỡng/tỷ lệ phân bổ và các quy tắc về khả năng hiển thị/quyền truy cập.</v>
      </c>
      <c r="H24" s="40" t="str">
        <f>IF('Main Flow Steps'!H23="","",'Main Flow Steps'!H23)</f>
        <v>UC83</v>
      </c>
      <c r="I24" s="40" t="str">
        <f>IF('Main Flow Steps'!I23="","",'Main Flow Steps'!I23)</f>
        <v>BR-FIN-JAR-01</v>
      </c>
      <c r="J24" s="40" t="str">
        <f>IFERROR(__xludf.DUMMYFUNCTION("IF('Main Flow Steps'!J23="""","""",IFERROR(GOOGLETRANSLATE('Main Flow Steps'!J23,""en"",""vi""),'Main Flow Steps'!J23))"),"Các quỹ/hũ tài chính đã được cấu hình.")</f>
        <v>Các quỹ/hũ tài chính đã được cấu hình.</v>
      </c>
      <c r="K24" s="40" t="str">
        <f>IFERROR(__xludf.DUMMYFUNCTION("IF('Main Flow Steps'!K23="""","""",IFERROR(GOOGLETRANSLATE('Main Flow Steps'!K23,""en"",""vi""),'Main Flow Steps'!K23))"),"Ví dụ: chi tiêu thiết yếu, chi tiêu không thiết yếu, quỹ tiết kiệm, giáo dục, quỹ dự phòng/khẩn cấp.")</f>
        <v>Ví dụ: chi tiêu thiết yếu, chi tiêu không thiết yếu, quỹ tiết kiệm, giáo dục, quỹ dự phòng/khẩn cấp.</v>
      </c>
    </row>
    <row r="25" ht="22.5" customHeight="1">
      <c r="A25" s="40" t="str">
        <f>IF('Main Flow Steps'!A35="","",'Main Flow Steps'!A35)</f>
        <v>F3</v>
      </c>
      <c r="B25" s="40" t="str">
        <f>IFERROR(__xludf.DUMMYFUNCTION("IF('Main Flow Steps'!B35="""","""",IFERROR(GOOGLETRANSLATE('Main Flow Steps'!B35,""en"",""vi""),'Main Flow Steps'!B35))"),"Lập kế hoạch tài chính gia đình và quản lý sổ quỹ")</f>
        <v>Lập kế hoạch tài chính gia đình và quản lý sổ quỹ</v>
      </c>
      <c r="C25" s="44">
        <f>IF('Main Flow Steps'!C35="","",'Main Flow Steps'!C35)</f>
        <v>5</v>
      </c>
      <c r="D25" s="40" t="str">
        <f>IF('Main Flow Steps'!D35="","",SWITCH('Main Flow Steps'!D35,"Start","Bắt đầu","End","Kết thúc","User Action","Hành động người dùng","System Action","Hành động hệ thống","Optional User Action","Hành động tùy chọn của người dùng","Optional System Action","Hành động tùy chọn của hệ thống",'Main Flow Steps'!D35))</f>
        <v>Hành động người dùng</v>
      </c>
      <c r="E25" s="40" t="str">
        <f>IFERROR(__xludf.DUMMYFUNCTION("IF('Main Flow Steps'!E35="""","""",IFERROR(GOOGLETRANSLATE('Main Flow Steps'!E35,""en"",""vi""),'Main Flow Steps'!E35))"),"Quản gia/Phó quản gia")</f>
        <v>Quản gia/Phó quản gia</v>
      </c>
      <c r="F25" s="40" t="str">
        <f>IFERROR(__xludf.DUMMYFUNCTION("IF('Main Flow Steps'!F35="""","""",IFERROR(GOOGLETRANSLATE('Main Flow Steps'!F35,""en"",""vi""),'Main Flow Steps'!F35))"),"Ghi nhận khoản đóng góp vào quỹ gia đình vào sổ cái nội bộ.")</f>
        <v>Ghi nhận khoản đóng góp vào quỹ gia đình vào sổ cái nội bộ.</v>
      </c>
      <c r="G25" s="40" t="str">
        <f>IFERROR(__xludf.DUMMYFUNCTION("IF('Main Flow Steps'!G35="""","""",IFERROR(GOOGLETRANSLATE('Main Flow Steps'!G35,""en"",""vi""),'Main Flow Steps'!G35))"),"Hệ thống tạo một mục nhập sổ cái với các thông tin về loại, số tiền, người thực hiện, thời gian và ghi chú.")</f>
        <v>Hệ thống tạo một mục nhập sổ cái với các thông tin về loại, số tiền, người thực hiện, thời gian và ghi chú.</v>
      </c>
      <c r="H25" s="40" t="str">
        <f>IF('Main Flow Steps'!H35="","",'Main Flow Steps'!H35)</f>
        <v>UC31, UC32</v>
      </c>
      <c r="I25" s="40" t="str">
        <f>IF('Main Flow Steps'!I35="","",'Main Flow Steps'!I35)</f>
        <v>BR-FIN-04, BR-FIN-07, BR-FIN-08</v>
      </c>
      <c r="J25" s="40" t="str">
        <f>IFERROR(__xludf.DUMMYFUNCTION("IF('Main Flow Steps'!J35="""","""",IFERROR(GOOGLETRANSLATE('Main Flow Steps'!J35,""en"",""vi""),'Main Flow Steps'!J35))"),"Sổ quỹ gia đình được ghi nhận tăng lên nhằm mục đích lập kế hoạch/theo dõi.")</f>
        <v>Sổ quỹ gia đình được ghi nhận tăng lên nhằm mục đích lập kế hoạch/theo dõi.</v>
      </c>
      <c r="K25" s="40" t="str">
        <f>IFERROR(__xludf.DUMMYFUNCTION("IF('Main Flow Steps'!K35="""","""",IFERROR(GOOGLETRANSLATE('Main Flow Steps'!K35,""en"",""vi""),'Main Flow Steps'!K35))"),"Đây không phải là nạp tiền vào ví thật. Cổng thanh toán không được sử dụng ở đây.")</f>
        <v>Đây không phải là nạp tiền vào ví thật. Cổng thanh toán không được sử dụng ở đây.</v>
      </c>
    </row>
    <row r="26" ht="22.5" customHeight="1">
      <c r="A26" s="40" t="str">
        <f>IF('Main Flow Steps'!A38="","",'Main Flow Steps'!A38)</f>
        <v>F3</v>
      </c>
      <c r="B26" s="40" t="str">
        <f>IFERROR(__xludf.DUMMYFUNCTION("IF('Main Flow Steps'!B38="""","""",IFERROR(GOOGLETRANSLATE('Main Flow Steps'!B38,""en"",""vi""),'Main Flow Steps'!B38))"),"Lập kế hoạch tài chính gia đình và quản lý sổ quỹ")</f>
        <v>Lập kế hoạch tài chính gia đình và quản lý sổ quỹ</v>
      </c>
      <c r="C26" s="44">
        <f>IF('Main Flow Steps'!C38="","",'Main Flow Steps'!C38)</f>
        <v>8</v>
      </c>
      <c r="D26" s="40" t="str">
        <f>IF('Main Flow Steps'!D38="","",SWITCH('Main Flow Steps'!D38,"Start","Bắt đầu","End","Kết thúc","User Action","Hành động người dùng","System Action","Hành động hệ thống","Optional User Action","Hành động tùy chọn của người dùng","Optional System Action","Hành động tùy chọn của hệ thống",'Main Flow Steps'!D38))</f>
        <v>Hành động người dùng</v>
      </c>
      <c r="E26" s="40" t="str">
        <f>IFERROR(__xludf.DUMMYFUNCTION("IF('Main Flow Steps'!E38="""","""",IFERROR(GOOGLETRANSLATE('Main Flow Steps'!E38,""en"",""vi""),'Main Flow Steps'!E38))"),"Quản gia/Phó quản gia")</f>
        <v>Quản gia/Phó quản gia</v>
      </c>
      <c r="F26" s="40" t="str">
        <f>IFERROR(__xludf.DUMMYFUNCTION("IF('Main Flow Steps'!F38="""","""",IFERROR(GOOGLETRANSLATE('Main Flow Steps'!F38,""en"",""vi""),'Main Flow Steps'!F38))"),"Phê duyệt hoặc từ chối yêu cầu hỗ trợ chi tiêu đang chờ xử lý.")</f>
        <v>Phê duyệt hoặc từ chối yêu cầu hỗ trợ chi tiêu đang chờ xử lý.</v>
      </c>
      <c r="G26" s="40" t="str">
        <f>IFERROR(__xludf.DUMMYFUNCTION("IF('Main Flow Steps'!G38="""","""",IFERROR(GOOGLETRANSLATE('Main Flow Steps'!G38,""en"",""vi""),'Main Flow Steps'!G38))"),"Hệ thống xác thực quyền truy cập, trạng thái yêu cầu và chính sách sổ cái liên quan.")</f>
        <v>Hệ thống xác thực quyền truy cập, trạng thái yêu cầu và chính sách sổ cái liên quan.</v>
      </c>
      <c r="H26" s="40" t="str">
        <f>IF('Main Flow Steps'!H38="","",'Main Flow Steps'!H38)</f>
        <v>UC35</v>
      </c>
      <c r="I26" s="40" t="str">
        <f>IF('Main Flow Steps'!I38="","",'Main Flow Steps'!I38)</f>
        <v>BR-FIN-02, BR-FIN-03, BR-FIN-04, BR-FIN-07</v>
      </c>
      <c r="J26" s="40" t="str">
        <f>IFERROR(__xludf.DUMMYFUNCTION("IF('Main Flow Steps'!J38="""","""",IFERROR(GOOGLETRANSLATE('Main Flow Steps'!J38,""en"",""vi""),'Main Flow Steps'!J38))"),"Yêu cầu được chấp thuận hoặc bị từ chối.")</f>
        <v>Yêu cầu được chấp thuận hoặc bị từ chối.</v>
      </c>
      <c r="K26" s="40" t="str">
        <f>IFERROR(__xludf.DUMMYFUNCTION("IF('Main Flow Steps'!K38="""","""",IFERROR(GOOGLETRANSLATE('Main Flow Steps'!K38,""en"",""vi""),'Main Flow Steps'!K38))"),"Việc phê duyệt chỉ tạo ra sổ cái/bản ghi hạn mức nội bộ; không có giao dịch chuyển khoản hoặc rút tiền thực tế.")</f>
        <v>Việc phê duyệt chỉ tạo ra sổ cái/bản ghi hạn mức nội bộ; không có giao dịch chuyển khoản hoặc rút tiền thực tế.</v>
      </c>
    </row>
    <row r="27" ht="22.5" customHeight="1">
      <c r="A27" s="40" t="str">
        <f>IF('Main Flow Steps'!A43="","",'Main Flow Steps'!A43)</f>
        <v>F4</v>
      </c>
      <c r="B27" s="40" t="str">
        <f>IFERROR(__xludf.DUMMYFUNCTION("IF('Main Flow Steps'!B43="""","""",IFERROR(GOOGLETRANSLATE('Main Flow Steps'!B43,""en"",""vi""),'Main Flow Steps'!B43))"),"Điều phối công việc nhà và quản lý việc phân chia phần thưởng")</f>
        <v>Điều phối công việc nhà và quản lý việc phân chia phần thưởng</v>
      </c>
      <c r="C27" s="44">
        <f>IF('Main Flow Steps'!C43="","",'Main Flow Steps'!C43)</f>
        <v>2</v>
      </c>
      <c r="D27" s="40" t="str">
        <f>IF('Main Flow Steps'!D43="","",SWITCH('Main Flow Steps'!D43,"Start","Bắt đầu","End","Kết thúc","User Action","Hành động người dùng","System Action","Hành động hệ thống","Optional User Action","Hành động tùy chọn của người dùng","Optional System Action","Hành động tùy chọn của hệ thống",'Main Flow Steps'!D43))</f>
        <v>Hành động người dùng</v>
      </c>
      <c r="E27" s="40" t="str">
        <f>IFERROR(__xludf.DUMMYFUNCTION("IF('Main Flow Steps'!E43="""","""",IFERROR(GOOGLETRANSLATE('Main Flow Steps'!E43,""en"",""vi""),'Main Flow Steps'!E43))"),"Quản gia/Phó quản gia")</f>
        <v>Quản gia/Phó quản gia</v>
      </c>
      <c r="F27" s="40" t="str">
        <f>IFERROR(__xludf.DUMMYFUNCTION("IF('Main Flow Steps'!F43="""","""",IFERROR(GOOGLETRANSLATE('Main Flow Steps'!F43,""en"",""vi""),'Main Flow Steps'!F43))"),"Phân công hoặc giao lại nhiệm vụ cho một thành viên trong gia đình.")</f>
        <v>Phân công hoặc giao lại nhiệm vụ cho một thành viên trong gia đình.</v>
      </c>
      <c r="G27" s="40" t="str">
        <f>IFERROR(__xludf.DUMMYFUNCTION("IF('Main Flow Steps'!G43="""","""",IFERROR(GOOGLETRANSLATE('Main Flow Steps'!G43,""en"",""vi""),'Main Flow Steps'!G43))"),"Hệ thống kiểm tra xem người được chỉ định có thuộc cùng Không gian làm việc Gia đình hay không.")</f>
        <v>Hệ thống kiểm tra xem người được chỉ định có thuộc cùng Không gian làm việc Gia đình hay không.</v>
      </c>
      <c r="H27" s="40" t="str">
        <f>IF('Main Flow Steps'!H43="","",'Main Flow Steps'!H43)</f>
        <v>UC40</v>
      </c>
      <c r="I27" s="40" t="str">
        <f>IF('Main Flow Steps'!I43="","",'Main Flow Steps'!I43)</f>
        <v>BR-TASK-02, BR-AUTH-02</v>
      </c>
      <c r="J27" s="40" t="str">
        <f>IFERROR(__xludf.DUMMYFUNCTION("IF('Main Flow Steps'!J43="""","""",IFERROR(GOOGLETRANSLATE('Main Flow Steps'!J43,""en"",""vi""),'Main Flow Steps'!J43))"),"Nhiệm vụ đã được giao.")</f>
        <v>Nhiệm vụ đã được giao.</v>
      </c>
      <c r="K27" s="40" t="str">
        <f>IFERROR(__xludf.DUMMYFUNCTION("IF('Main Flow Steps'!K43="""","""",IFERROR(GOOGLETRANSLATE('Main Flow Steps'!K43,""en"",""vi""),'Main Flow Steps'!K43))"),"Thông báo có thể được gửi sau khi hoàn thành việc phân công.")</f>
        <v>Thông báo có thể được gửi sau khi hoàn thành việc phân công.</v>
      </c>
    </row>
    <row r="28" ht="22.5" customHeight="1">
      <c r="A28" s="40" t="str">
        <f>IF('Main Flow Steps'!A46="","",'Main Flow Steps'!A46)</f>
        <v>F4</v>
      </c>
      <c r="B28" s="40" t="str">
        <f>IFERROR(__xludf.DUMMYFUNCTION("IF('Main Flow Steps'!B46="""","""",IFERROR(GOOGLETRANSLATE('Main Flow Steps'!B46,""en"",""vi""),'Main Flow Steps'!B46))"),"Điều phối công việc nhà và quản lý việc phân chia phần thưởng")</f>
        <v>Điều phối công việc nhà và quản lý việc phân chia phần thưởng</v>
      </c>
      <c r="C28" s="44">
        <f>IF('Main Flow Steps'!C46="","",'Main Flow Steps'!C46)</f>
        <v>5</v>
      </c>
      <c r="D28" s="40" t="str">
        <f>IF('Main Flow Steps'!D46="","",SWITCH('Main Flow Steps'!D46,"Start","Bắt đầu","End","Kết thúc","User Action","Hành động người dùng","System Action","Hành động hệ thống","Optional User Action","Hành động tùy chọn của người dùng","Optional System Action","Hành động tùy chọn của hệ thống",'Main Flow Steps'!D46))</f>
        <v>Hành động tùy chọn của người dùng</v>
      </c>
      <c r="E28" s="40" t="str">
        <f>IFERROR(__xludf.DUMMYFUNCTION("IF('Main Flow Steps'!E46="""","""",IFERROR(GOOGLETRANSLATE('Main Flow Steps'!E46,""en"",""vi""),'Main Flow Steps'!E46))"),"Quản gia/Phó quản gia")</f>
        <v>Quản gia/Phó quản gia</v>
      </c>
      <c r="F28" s="40" t="str">
        <f>IFERROR(__xludf.DUMMYFUNCTION("IF('Main Flow Steps'!F46="""","""",IFERROR(GOOGLETRANSLATE('Main Flow Steps'!F46,""en"",""vi""),'Main Flow Steps'!F46))"),"Hãy tiếp quản, phân công lại hoặc xử lý nhiệm vụ định kỳ khi có thông báo vắng mặt.")</f>
        <v>Hãy tiếp quản, phân công lại hoặc xử lý nhiệm vụ định kỳ khi có thông báo vắng mặt.</v>
      </c>
      <c r="G28" s="40" t="str">
        <f>IFERROR(__xludf.DUMMYFUNCTION("IF('Main Flow Steps'!G46="""","""",IFERROR(GOOGLETRANSLATE('Main Flow Steps'!G46,""en"",""vi""),'Main Flow Steps'!G46))"),"Hệ thống cập nhật trạng thái hoặc phân công nhiệm vụ.")</f>
        <v>Hệ thống cập nhật trạng thái hoặc phân công nhiệm vụ.</v>
      </c>
      <c r="H28" s="40" t="str">
        <f>IF('Main Flow Steps'!H46="","",'Main Flow Steps'!H46)</f>
        <v>UC42</v>
      </c>
      <c r="I28" s="40" t="str">
        <f>IF('Main Flow Steps'!I46="","",'Main Flow Steps'!I46)</f>
        <v>BR-TASK-02</v>
      </c>
      <c r="J28" s="40" t="str">
        <f>IFERROR(__xludf.DUMMYFUNCTION("IF('Main Flow Steps'!J46="""","""",IFERROR(GOOGLETRANSLATE('Main Flow Steps'!J46,""en"",""vi""),'Main Flow Steps'!J46))"),"Nhiệm vụ được giao lại, tiếp quản hoặc xử lý theo cách khác.")</f>
        <v>Nhiệm vụ được giao lại, tiếp quản hoặc xử lý theo cách khác.</v>
      </c>
      <c r="K28" s="40" t="str">
        <f>IFERROR(__xludf.DUMMYFUNCTION("IF('Main Flow Steps'!K46="""","""",IFERROR(GOOGLETRANSLATE('Main Flow Steps'!K46,""en"",""vi""),'Main Flow Steps'!K46))"),"Không nên âm thầm bỏ qua các nhiệm vụ bắt buộc định kỳ.")</f>
        <v>Không nên âm thầm bỏ qua các nhiệm vụ bắt buộc định kỳ.</v>
      </c>
    </row>
    <row r="29" ht="22.5" customHeight="1">
      <c r="A29" s="40" t="str">
        <f>IF('Main Flow Steps'!A48="","",'Main Flow Steps'!A48)</f>
        <v>F4</v>
      </c>
      <c r="B29" s="40" t="str">
        <f>IFERROR(__xludf.DUMMYFUNCTION("IF('Main Flow Steps'!B48="""","""",IFERROR(GOOGLETRANSLATE('Main Flow Steps'!B48,""en"",""vi""),'Main Flow Steps'!B48))"),"Điều phối công việc nhà và quản lý việc phân chia phần thưởng")</f>
        <v>Điều phối công việc nhà và quản lý việc phân chia phần thưởng</v>
      </c>
      <c r="C29" s="44">
        <f>IF('Main Flow Steps'!C48="","",'Main Flow Steps'!C48)</f>
        <v>7</v>
      </c>
      <c r="D29" s="40" t="str">
        <f>IF('Main Flow Steps'!D48="","",SWITCH('Main Flow Steps'!D48,"Start","Bắt đầu","End","Kết thúc","User Action","Hành động người dùng","System Action","Hành động hệ thống","Optional User Action","Hành động tùy chọn của người dùng","Optional System Action","Hành động tùy chọn của hệ thống",'Main Flow Steps'!D48))</f>
        <v>Hành động người dùng</v>
      </c>
      <c r="E29" s="40" t="str">
        <f>IFERROR(__xludf.DUMMYFUNCTION("IF('Main Flow Steps'!E48="""","""",IFERROR(GOOGLETRANSLATE('Main Flow Steps'!E48,""en"",""vi""),'Main Flow Steps'!E48))"),"Quản gia/Phó quản gia")</f>
        <v>Quản gia/Phó quản gia</v>
      </c>
      <c r="F29" s="40" t="str">
        <f>IFERROR(__xludf.DUMMYFUNCTION("IF('Main Flow Steps'!F48="""","""",IFERROR(GOOGLETRANSLATE('Main Flow Steps'!F48,""en"",""vi""),'Main Flow Steps'!F48))"),"Xem xét bằng chứng hoàn thành và chấp thuận hoặc từ chối việc hoàn thành nhiệm vụ.")</f>
        <v>Xem xét bằng chứng hoàn thành và chấp thuận hoặc từ chối việc hoàn thành nhiệm vụ.</v>
      </c>
      <c r="G29" s="40" t="str">
        <f>IFERROR(__xludf.DUMMYFUNCTION("IF('Main Flow Steps'!G48="""","""",IFERROR(GOOGLETRANSLATE('Main Flow Steps'!G48,""en"",""vi""),'Main Flow Steps'!G48))"),"Hệ thống cập nhật trạng thái hoàn thành nhiệm vụ. Nếu bị từ chối, việc thanh toán phần thưởng sẽ không được thực hiện.")</f>
        <v>Hệ thống cập nhật trạng thái hoàn thành nhiệm vụ. Nếu bị từ chối, việc thanh toán phần thưởng sẽ không được thực hiện.</v>
      </c>
      <c r="H29" s="40" t="str">
        <f>IF('Main Flow Steps'!H48="","",'Main Flow Steps'!H48)</f>
        <v>UC44</v>
      </c>
      <c r="I29" s="40" t="str">
        <f>IF('Main Flow Steps'!I48="","",'Main Flow Steps'!I48)</f>
        <v>BR-TASK-03, BR-TASK-04</v>
      </c>
      <c r="J29" s="40" t="str">
        <f>IFERROR(__xludf.DUMMYFUNCTION("IF('Main Flow Steps'!J48="""","""",IFERROR(GOOGLETRANSLATE('Main Flow Steps'!J48,""en"",""vi""),'Main Flow Steps'!J48))"),"Việc hoàn thành nhiệm vụ được chấp thuận hoặc từ chối.")</f>
        <v>Việc hoàn thành nhiệm vụ được chấp thuận hoặc từ chối.</v>
      </c>
      <c r="K29" s="40" t="str">
        <f>IFERROR(__xludf.DUMMYFUNCTION("IF('Main Flow Steps'!K48="""","""",IFERROR(GOOGLETRANSLATE('Main Flow Steps'!K48,""en"",""vi""),'Main Flow Steps'!K48))"),"Việc phê duyệt nhiệm vụ không có nghĩa là thành viên đã nhận được phần thưởng thực sự.")</f>
        <v>Việc phê duyệt nhiệm vụ không có nghĩa là thành viên đã nhận được phần thưởng thực sự.</v>
      </c>
    </row>
    <row r="30" ht="22.5" customHeight="1">
      <c r="A30" s="40" t="str">
        <f>IF('Main Flow Steps'!A50="","",'Main Flow Steps'!A50)</f>
        <v>F4</v>
      </c>
      <c r="B30" s="40" t="str">
        <f>IFERROR(__xludf.DUMMYFUNCTION("IF('Main Flow Steps'!B50="""","""",IFERROR(GOOGLETRANSLATE('Main Flow Steps'!B50,""en"",""vi""),'Main Flow Steps'!B50))"),"Điều phối công việc nhà và quản lý việc phân chia phần thưởng")</f>
        <v>Điều phối công việc nhà và quản lý việc phân chia phần thưởng</v>
      </c>
      <c r="C30" s="44">
        <f>IF('Main Flow Steps'!C50="","",'Main Flow Steps'!C50)</f>
        <v>9</v>
      </c>
      <c r="D30" s="40" t="str">
        <f>IF('Main Flow Steps'!D50="","",SWITCH('Main Flow Steps'!D50,"Start","Bắt đầu","End","Kết thúc","User Action","Hành động người dùng","System Action","Hành động hệ thống","Optional User Action","Hành động tùy chọn của người dùng","Optional System Action","Hành động tùy chọn của hệ thống",'Main Flow Steps'!D50))</f>
        <v>External / User Action</v>
      </c>
      <c r="E30" s="40" t="str">
        <f>IFERROR(__xludf.DUMMYFUNCTION("IF('Main Flow Steps'!E50="""","""",IFERROR(GOOGLETRANSLATE('Main Flow Steps'!E50,""en"",""vi""),'Main Flow Steps'!E50))"),"Quản gia/Phó quản gia")</f>
        <v>Quản gia/Phó quản gia</v>
      </c>
      <c r="F30" s="40" t="str">
        <f>IFERROR(__xludf.DUMMYFUNCTION("IF('Main Flow Steps'!F50="""","""",IFERROR(GOOGLETRANSLATE('Main Flow Steps'!F50,""en"",""vi""),'Main Flow Steps'!F50))"),"Thanh toán phần thưởng bên ngoài hệ thống bằng tiền mặt, chuyển khoản ngân hàng, ví điện tử của bên thứ ba hoặc phương thức khác do gia đình quản lý.")</f>
        <v>Thanh toán phần thưởng bên ngoài hệ thống bằng tiền mặt, chuyển khoản ngân hàng, ví điện tử của bên thứ ba hoặc phương thức khác do gia đình quản lý.</v>
      </c>
      <c r="G30" s="40" t="str">
        <f>IFERROR(__xludf.DUMMYFUNCTION("IF('Main Flow Steps'!G50="""","""",IFERROR(GOOGLETRANSLATE('Main Flow Steps'!G50,""en"",""vi""),'Main Flow Steps'!G50))"),"Hệ thống không xử lý khoản thanh toán thực tế này; nó chỉ chờ cập nhật hồ sơ thanh toán.")</f>
        <v>Hệ thống không xử lý khoản thanh toán thực tế này; nó chỉ chờ cập nhật hồ sơ thanh toán.</v>
      </c>
      <c r="H30" s="40" t="str">
        <f>IF('Main Flow Steps'!H50="","",'Main Flow Steps'!H50)</f>
        <v>UC46</v>
      </c>
      <c r="I30" s="40" t="str">
        <f>IF('Main Flow Steps'!I50="","",'Main Flow Steps'!I50)</f>
        <v>BR-REW-02, BR-REW-03, BR-FIN-08</v>
      </c>
      <c r="J30" s="40" t="str">
        <f>IFERROR(__xludf.DUMMYFUNCTION("IF('Main Flow Steps'!J50="""","""",IFERROR(GOOGLETRANSLATE('Main Flow Steps'!J50,""en"",""vi""),'Main Flow Steps'!J50))"),"Phần thưởng thực tế được xử lý bên ngoài ứng dụng.")</f>
        <v>Phần thưởng thực tế được xử lý bên ngoài ứng dụng.</v>
      </c>
      <c r="K30" s="40" t="str">
        <f>IFERROR(__xludf.DUMMYFUNCTION("IF('Main Flow Steps'!K50="""","""",IFERROR(GOOGLETRANSLATE('Main Flow Steps'!K50,""en"",""vi""),'Main Flow Steps'!K50))"),"Điều này giúp hệ thống tránh khỏi việc xử lý các giao dịch ví điện tử/thanh toán pháp lý.")</f>
        <v>Điều này giúp hệ thống tránh khỏi việc xử lý các giao dịch ví điện tử/thanh toán pháp lý.</v>
      </c>
    </row>
    <row r="31" ht="22.5" customHeight="1">
      <c r="A31" s="40" t="str">
        <f>IF('Main Flow Steps'!A62="","",'Main Flow Steps'!A62)</f>
        <v>F5</v>
      </c>
      <c r="B31" s="40" t="str">
        <f>IFERROR(__xludf.DUMMYFUNCTION("IF('Main Flow Steps'!B62="""","""",IFERROR(GOOGLETRANSLATE('Main Flow Steps'!B62,""en"",""vi""),'Main Flow Steps'!B62))"),"Cảnh báo SOS, An toàn đeo được và Quản lý phản ứng an toàn")</f>
        <v>Cảnh báo SOS, An toàn đeo được và Quản lý phản ứng an toàn</v>
      </c>
      <c r="C31" s="44">
        <f>IF('Main Flow Steps'!C62="","",'Main Flow Steps'!C62)</f>
        <v>8</v>
      </c>
      <c r="D31" s="40" t="str">
        <f>IF('Main Flow Steps'!D62="","",SWITCH('Main Flow Steps'!D62,"Start","Bắt đầu","End","Kết thúc","User Action","Hành động người dùng","System Action","Hành động hệ thống","Optional User Action","Hành động tùy chọn của người dùng","Optional System Action","Hành động tùy chọn của hệ thống",'Main Flow Steps'!D62))</f>
        <v>Hành động người dùng</v>
      </c>
      <c r="E31" s="40" t="str">
        <f>IFERROR(__xludf.DUMMYFUNCTION("IF('Main Flow Steps'!E62="""","""",IFERROR(GOOGLETRANSLATE('Main Flow Steps'!E62,""en"",""vi""),'Main Flow Steps'!E62))"),"Quản gia/Phó quản gia")</f>
        <v>Quản gia/Phó quản gia</v>
      </c>
      <c r="F31" s="40" t="str">
        <f>IFERROR(__xludf.DUMMYFUNCTION("IF('Main Flow Steps'!F62="""","""",IFERROR(GOOGLETRANSLATE('Main Flow Steps'!F62,""en"",""vi""),'Main Flow Steps'!F62))"),"Giải quyết hoặc hủy bỏ cảnh báo SOS với xác nhận an toàn hoặc lý do xử lý rõ ràng.")</f>
        <v>Giải quyết hoặc hủy bỏ cảnh báo SOS với xác nhận an toàn hoặc lý do xử lý rõ ràng.</v>
      </c>
      <c r="G31" s="40" t="str">
        <f>IFERROR(__xludf.DUMMYFUNCTION("IF('Main Flow Steps'!G62="""","""",IFERROR(GOOGLETRANSLATE('Main Flow Steps'!G62,""en"",""vi""),'Main Flow Steps'!G62))"),"Hệ thống sẽ xác thực quyền truy cập và lý do/xác nhận cần thiết trước khi đóng yêu cầu SOS.")</f>
        <v>Hệ thống sẽ xác thực quyền truy cập và lý do/xác nhận cần thiết trước khi đóng yêu cầu SOS.</v>
      </c>
      <c r="H31" s="40" t="str">
        <f>IF('Main Flow Steps'!H62="","",'Main Flow Steps'!H62)</f>
        <v>UC53</v>
      </c>
      <c r="I31" s="40" t="str">
        <f>IF('Main Flow Steps'!I62="","",'Main Flow Steps'!I62)</f>
        <v>BR-SOS-03</v>
      </c>
      <c r="J31" s="40" t="str">
        <f>IFERROR(__xludf.DUMMYFUNCTION("IF('Main Flow Steps'!J62="""","""",IFERROR(GOOGLETRANSLATE('Main Flow Steps'!J62,""en"",""vi""),'Main Flow Steps'!J62))"),"Thông báo SOS đã được giải quyết hoặc hủy bỏ.")</f>
        <v>Thông báo SOS đã được giải quyết hoặc hủy bỏ.</v>
      </c>
      <c r="K31" s="40" t="str">
        <f>IFERROR(__xludf.DUMMYFUNCTION("IF('Main Flow Steps'!K62="""","""",IFERROR(GOOGLETRANSLATE('Main Flow Steps'!K62,""en"",""vi""),'Main Flow Steps'!K62))"),"Quyền hạn được ủy quyền có thể bao gồm việc xử lý các trường hợp khẩn cấp.")</f>
        <v>Quyền hạn được ủy quyền có thể bao gồm việc xử lý các trường hợp khẩn cấp.</v>
      </c>
    </row>
    <row r="32" ht="22.5" customHeight="1">
      <c r="A32" s="40" t="str">
        <f>IF('Main Flow Steps'!A72="","",'Main Flow Steps'!A72)</f>
        <v>SF1</v>
      </c>
      <c r="B32" s="40" t="str">
        <f>IFERROR(__xludf.DUMMYFUNCTION("IF('Main Flow Steps'!B72="""","""",IFERROR(GOOGLETRANSLATE('Main Flow Steps'!B72,""en"",""vi""),'Main Flow Steps'!B72))"),"Giao tiếp gia đình, lịch và album")</f>
        <v>Giao tiếp gia đình, lịch và album</v>
      </c>
      <c r="C32" s="44">
        <f>IF('Main Flow Steps'!C72="","",'Main Flow Steps'!C72)</f>
        <v>3</v>
      </c>
      <c r="D32" s="40" t="str">
        <f>IF('Main Flow Steps'!D72="","",SWITCH('Main Flow Steps'!D72,"Start","Bắt đầu","End","Kết thúc","User Action","Hành động người dùng","System Action","Hành động hệ thống","Optional User Action","Hành động tùy chọn của người dùng","Optional System Action","Hành động tùy chọn của hệ thống",'Main Flow Steps'!D72))</f>
        <v>Hành động người dùng</v>
      </c>
      <c r="E32" s="40" t="str">
        <f>IFERROR(__xludf.DUMMYFUNCTION("IF('Main Flow Steps'!E72="""","""",IFERROR(GOOGLETRANSLATE('Main Flow Steps'!E72,""en"",""vi""),'Main Flow Steps'!E72))"),"Quản gia/Phó quản gia")</f>
        <v>Quản gia/Phó quản gia</v>
      </c>
      <c r="F32" s="40" t="str">
        <f>IFERROR(__xludf.DUMMYFUNCTION("IF('Main Flow Steps'!F72="""","""",IFERROR(GOOGLETRANSLATE('Main Flow Steps'!F72,""en"",""vi""),'Main Flow Steps'!F72))"),"Gửi thông báo cho gia đình hoặc tạo sự kiện chung trên lịch gia đình.")</f>
        <v>Gửi thông báo cho gia đình hoặc tạo sự kiện chung trên lịch gia đình.</v>
      </c>
      <c r="G32" s="40" t="str">
        <f>IFERROR(__xludf.DUMMYFUNCTION("IF('Main Flow Steps'!G72="""","""",IFERROR(GOOGLETRANSLATE('Main Flow Steps'!G72,""en"",""vi""),'Main Flow Steps'!G72))"),"Hệ thống sẽ thông báo cho các thành viên gia đình có liên quan và hiển thị sự kiện/thông báo trong ngữ cảnh chung.")</f>
        <v>Hệ thống sẽ thông báo cho các thành viên gia đình có liên quan và hiển thị sự kiện/thông báo trong ngữ cảnh chung.</v>
      </c>
      <c r="H32" s="40" t="str">
        <f>IF('Main Flow Steps'!H72="","",'Main Flow Steps'!H72)</f>
        <v>UC63, UC70, UC71</v>
      </c>
      <c r="I32" s="40" t="str">
        <f>IF('Main Flow Steps'!I72="","",'Main Flow Steps'!I72)</f>
        <v>BR-COM-03, BR-CAL-01</v>
      </c>
      <c r="J32" s="40" t="str">
        <f>IFERROR(__xludf.DUMMYFUNCTION("IF('Main Flow Steps'!J72="""","""",IFERROR(GOOGLETRANSLATE('Main Flow Steps'!J72,""en"",""vi""),'Main Flow Steps'!J72))"),"Thông báo/mục sự kiện đã có sẵn.")</f>
        <v>Thông báo/mục sự kiện đã có sẵn.</v>
      </c>
      <c r="K32" s="40" t="str">
        <f>IFERROR(__xludf.DUMMYFUNCTION("IF('Main Flow Steps'!K72="""","""",IFERROR(GOOGLETRANSLATE('Main Flow Steps'!K72,""en"",""vi""),'Main Flow Steps'!K72))"),"Lịch và thông báo hỗ trợ việc phối hợp trong gia đình.")</f>
        <v>Lịch và thông báo hỗ trợ việc phối hợp trong gia đình.</v>
      </c>
    </row>
    <row r="33" ht="22.5" customHeight="1">
      <c r="A33" s="40" t="str">
        <f>IF('Main Flow Steps'!A21="","",'Main Flow Steps'!A21)</f>
        <v>F3</v>
      </c>
      <c r="B33" s="40" t="str">
        <f>IFERROR(__xludf.DUMMYFUNCTION("IF('Main Flow Steps'!B21="""","""",IFERROR(GOOGLETRANSLATE('Main Flow Steps'!B21,""en"",""vi""),'Main Flow Steps'!B21))"),"Lập kế hoạch tài chính gia đình, sổ quỹ và ngân sách dựa trên mục tiêu.")</f>
        <v>Lập kế hoạch tài chính gia đình, sổ quỹ và ngân sách dựa trên mục tiêu.</v>
      </c>
      <c r="C33" s="44">
        <f>IF('Main Flow Steps'!C21="","",'Main Flow Steps'!C21)</f>
        <v>1</v>
      </c>
      <c r="D33" s="40" t="str">
        <f>IF('Main Flow Steps'!D21="","",SWITCH('Main Flow Steps'!D21,"Start","Bắt đầu","End","Kết thúc","User Action","Hành động người dùng","System Action","Hành động hệ thống","Optional User Action","Hành động tùy chọn của người dùng","Optional System Action","Hành động tùy chọn của hệ thống",'Main Flow Steps'!D21))</f>
        <v>Bắt đầu</v>
      </c>
      <c r="E33" s="40" t="str">
        <f>IFERROR(__xludf.DUMMYFUNCTION("IF('Main Flow Steps'!E21="""","""",IFERROR(GOOGLETRANSLATE('Main Flow Steps'!E21,""en"",""vi""),'Main Flow Steps'!E21))"),"Quản gia/Phó quản gia/Thành viên gia đình")</f>
        <v>Quản gia/Phó quản gia/Thành viên gia đình</v>
      </c>
      <c r="F33" s="40" t="str">
        <f>IFERROR(__xludf.DUMMYFUNCTION("IF('Main Flow Steps'!F21="""","""",IFERROR(GOOGLETRANSLATE('Main Flow Steps'!F21,""en"",""vi""),'Main Flow Steps'!F21))"),"Mở mô-đun tài chính.")</f>
        <v>Mở mô-đun tài chính.</v>
      </c>
      <c r="G33" s="40" t="str">
        <f>IFERROR(__xludf.DUMMYFUNCTION("IF('Main Flow Steps'!G21="""","""",IFERROR(GOOGLETRANSLATE('Main Flow Steps'!G21,""en"",""vi""),'Main Flow Steps'!G21))"),"Hệ thống kiểm tra vai trò, ngữ cảnh không gian làm việc, quyền truy cập tính năng đăng ký và quyền được ủy quyền.")</f>
        <v>Hệ thống kiểm tra vai trò, ngữ cảnh không gian làm việc, quyền truy cập tính năng đăng ký và quyền được ủy quyền.</v>
      </c>
      <c r="H33" s="40" t="str">
        <f>IF('Main Flow Steps'!H21="","",'Main Flow Steps'!H21)</f>
        <v>UC21, UC22, UC31, UC70</v>
      </c>
      <c r="I33" s="40" t="str">
        <f>IF('Main Flow Steps'!I21="","",'Main Flow Steps'!I21)</f>
        <v>BR-AUTH-02, BR-FIN-01, BR-FIN-06, BR-SUB-07</v>
      </c>
      <c r="J33" s="40" t="str">
        <f>IFERROR(__xludf.DUMMYFUNCTION("IF('Main Flow Steps'!J21="""","""",IFERROR(GOOGLETRANSLATE('Main Flow Steps'!J21,""en"",""vi""),'Main Flow Steps'!J21))"),"Bảng điều khiển tài chính được hiển thị dựa trên quyền truy cập.")</f>
        <v>Bảng điều khiển tài chính được hiển thị dựa trên quyền truy cập.</v>
      </c>
      <c r="K33" s="40" t="str">
        <f>IFERROR(__xludf.DUMMYFUNCTION("IF('Main Flow Steps'!K21="""","""",IFERROR(GOOGLETRANSLATE('Main Flow Steps'!K21,""en"",""vi""),'Main Flow Steps'!K21))"),"Tài chính là giá trị cốt lõi. Sổ quỹ gia đình chỉ là hồ sơ nội bộ, không phải là ví điện tử thực sự.")</f>
        <v>Tài chính là giá trị cốt lõi. Sổ quỹ gia đình chỉ là hồ sơ nội bộ, không phải là ví điện tử thực sự.</v>
      </c>
    </row>
    <row r="34" ht="22.5" customHeight="1">
      <c r="A34" s="40" t="str">
        <f>IF('Main Flow Steps'!A36="","",'Main Flow Steps'!A36)</f>
        <v>F3</v>
      </c>
      <c r="B34" s="40" t="str">
        <f>IFERROR(__xludf.DUMMYFUNCTION("IF('Main Flow Steps'!B36="""","""",IFERROR(GOOGLETRANSLATE('Main Flow Steps'!B36,""en"",""vi""),'Main Flow Steps'!B36))"),"Lập kế hoạch tài chính gia đình và quản lý sổ quỹ")</f>
        <v>Lập kế hoạch tài chính gia đình và quản lý sổ quỹ</v>
      </c>
      <c r="C34" s="44">
        <f>IF('Main Flow Steps'!C36="","",'Main Flow Steps'!C36)</f>
        <v>6</v>
      </c>
      <c r="D34" s="40" t="str">
        <f>IF('Main Flow Steps'!D36="","",SWITCH('Main Flow Steps'!D36,"Start","Bắt đầu","End","Kết thúc","User Action","Hành động người dùng","System Action","Hành động hệ thống","Optional User Action","Hành động tùy chọn của người dùng","Optional System Action","Hành động tùy chọn của hệ thống",'Main Flow Steps'!D36))</f>
        <v>Hành động người dùng</v>
      </c>
      <c r="E34" s="40" t="str">
        <f>IFERROR(__xludf.DUMMYFUNCTION("IF('Main Flow Steps'!E36="""","""",IFERROR(GOOGLETRANSLATE('Main Flow Steps'!E36,""en"",""vi""),'Main Flow Steps'!E36))"),"Quản gia/Phó quản gia/Thành viên gia đình")</f>
        <v>Quản gia/Phó quản gia/Thành viên gia đình</v>
      </c>
      <c r="F34" s="40" t="str">
        <f>IFERROR(__xludf.DUMMYFUNCTION("IF('Main Flow Steps'!F36="""","""",IFERROR(GOOGLETRANSLATE('Main Flow Steps'!F36,""en"",""vi""),'Main Flow Steps'!F36))"),"Ghi lại các khoản chi tiêu cá nhân hoặc chung của gia đình thực tế.")</f>
        <v>Ghi lại các khoản chi tiêu cá nhân hoặc chung của gia đình thực tế.</v>
      </c>
      <c r="G34" s="40" t="str">
        <f>IFERROR(__xludf.DUMMYFUNCTION("IF('Main Flow Steps'!G36="""","""",IFERROR(GOOGLETRANSLATE('Main Flow Steps'!G36,""en"",""vi""),'Main Flow Steps'!G36))"),"Hệ thống lưu trữ chi phí thực tế và liên kết chi phí chung với sổ cái quỹ gia đình nếu có.")</f>
        <v>Hệ thống lưu trữ chi phí thực tế và liên kết chi phí chung với sổ cái quỹ gia đình nếu có.</v>
      </c>
      <c r="H34" s="40" t="str">
        <f>IF('Main Flow Steps'!H36="","",'Main Flow Steps'!H36)</f>
        <v>UC27, UC28</v>
      </c>
      <c r="I34" s="40" t="str">
        <f>IF('Main Flow Steps'!I36="","",'Main Flow Steps'!I36)</f>
        <v>BR-FIN-04, BR-FIN-05, BR-FIN-06, BR-FIN-07</v>
      </c>
      <c r="J34" s="40" t="str">
        <f>IFERROR(__xludf.DUMMYFUNCTION("IF('Main Flow Steps'!J36="""","""",IFERROR(GOOGLETRANSLATE('Main Flow Steps'!J36,""en"",""vi""),'Main Flow Steps'!J36))"),"Dữ liệu tài chính thực tế được ghi lại.")</f>
        <v>Dữ liệu tài chính thực tế được ghi lại.</v>
      </c>
      <c r="K34" s="40" t="str">
        <f>IFERROR(__xludf.DUMMYFUNCTION("IF('Main Flow Steps'!K36="""","""",IFERROR(GOOGLETRANSLATE('Main Flow Steps'!K36,""en"",""vi""),'Main Flow Steps'!K36))"),"Ví dụ: tiền điện, tiền mua thực phẩm, học phí, tiền tiêu vặt, chi phí y tế.")</f>
        <v>Ví dụ: tiền điện, tiền mua thực phẩm, học phí, tiền tiêu vặt, chi phí y tế.</v>
      </c>
    </row>
    <row r="35" ht="22.5" customHeight="1">
      <c r="A35" s="40" t="str">
        <f>IF('Main Flow Steps'!A12="","",'Main Flow Steps'!A12)</f>
        <v>F2</v>
      </c>
      <c r="B35" s="40" t="str">
        <f>IFERROR(__xludf.DUMMYFUNCTION("IF('Main Flow Steps'!B12="""","""",IFERROR(GOOGLETRANSLATE('Main Flow Steps'!B12,""en"",""vi""),'Main Flow Steps'!B12))"),"Quản lý thành viên, mối quan hệ và quyền được ủy quyền")</f>
        <v>Quản lý thành viên, mối quan hệ và quyền được ủy quyền</v>
      </c>
      <c r="C35" s="44">
        <f>IF('Main Flow Steps'!C12="","",'Main Flow Steps'!C12)</f>
        <v>1</v>
      </c>
      <c r="D35" s="40" t="str">
        <f>IF('Main Flow Steps'!D12="","",SWITCH('Main Flow Steps'!D12,"Start","Bắt đầu","End","Kết thúc","User Action","Hành động người dùng","System Action","Hành động hệ thống","Optional User Action","Hành động tùy chọn của người dùng","Optional System Action","Hành động tùy chọn của hệ thống",'Main Flow Steps'!D12))</f>
        <v>Bắt đầu</v>
      </c>
      <c r="E35" s="40" t="str">
        <f>IFERROR(__xludf.DUMMYFUNCTION("IF('Main Flow Steps'!E12="""","""",IFERROR(GOOGLETRANSLATE('Main Flow Steps'!E12,""en"",""vi""),'Main Flow Steps'!E12))"),"Quản lý gia đình")</f>
        <v>Quản lý gia đình</v>
      </c>
      <c r="F35" s="40" t="str">
        <f>IFERROR(__xludf.DUMMYFUNCTION("IF('Main Flow Steps'!F12="""","""",IFERROR(GOOGLETRANSLATE('Main Flow Steps'!F12,""en"",""vi""),'Main Flow Steps'!F12))"),"Mở màn hình quản lý thành viên.")</f>
        <v>Mở màn hình quản lý thành viên.</v>
      </c>
      <c r="G35" s="40" t="str">
        <f>IFERROR(__xludf.DUMMYFUNCTION("IF('Main Flow Steps'!G12="""","""",IFERROR(GOOGLETRANSLATE('Main Flow Steps'!G12,""en"",""vi""),'Main Flow Steps'!G12))"),"Hệ thống kiểm tra quyền Quản lý Gia đình.")</f>
        <v>Hệ thống kiểm tra quyền Quản lý Gia đình.</v>
      </c>
      <c r="H35" s="40" t="str">
        <f>IF('Main Flow Steps'!H12="","",'Main Flow Steps'!H12)</f>
        <v>UC20</v>
      </c>
      <c r="I35" s="40" t="str">
        <f>IF('Main Flow Steps'!I12="","",'Main Flow Steps'!I12)</f>
        <v>BR-AUTH-02, BR-ROLE-01</v>
      </c>
      <c r="J35" s="40" t="str">
        <f>IFERROR(__xludf.DUMMYFUNCTION("IF('Main Flow Steps'!J12="""","""",IFERROR(GOOGLETRANSLATE('Main Flow Steps'!J12,""en"",""vi""),'Main Flow Steps'!J12))"),"Màn hình quản lý thành viên sẽ hiển thị nếu quyền truy cập hợp lệ.")</f>
        <v>Màn hình quản lý thành viên sẽ hiển thị nếu quyền truy cập hợp lệ.</v>
      </c>
      <c r="K35" s="40" t="str">
        <f>IFERROR(__xludf.DUMMYFUNCTION("IF('Main Flow Steps'!K12="""","""",IFERROR(GOOGLETRANSLATE('Main Flow Steps'!K12,""en"",""vi""),'Main Flow Steps'!K12))"),"Chỉ người quản lý gia đình chính mới có thể trực tiếp quản lý quyền truy cập của thành viên.")</f>
        <v>Chỉ người quản lý gia đình chính mới có thể trực tiếp quản lý quyền truy cập của thành viên.</v>
      </c>
    </row>
    <row r="36" ht="22.5" customHeight="1">
      <c r="A36" s="40" t="str">
        <f>IF('Main Flow Steps'!A13="","",'Main Flow Steps'!A13)</f>
        <v>F2</v>
      </c>
      <c r="B36" s="40" t="str">
        <f>IFERROR(__xludf.DUMMYFUNCTION("IF('Main Flow Steps'!B13="""","""",IFERROR(GOOGLETRANSLATE('Main Flow Steps'!B13,""en"",""vi""),'Main Flow Steps'!B13))"),"Quản lý thành viên, mối quan hệ và quyền được ủy quyền")</f>
        <v>Quản lý thành viên, mối quan hệ và quyền được ủy quyền</v>
      </c>
      <c r="C36" s="44">
        <f>IF('Main Flow Steps'!C13="","",'Main Flow Steps'!C13)</f>
        <v>2</v>
      </c>
      <c r="D36" s="40" t="str">
        <f>IF('Main Flow Steps'!D13="","",SWITCH('Main Flow Steps'!D13,"Start","Bắt đầu","End","Kết thúc","User Action","Hành động người dùng","System Action","Hành động hệ thống","Optional User Action","Hành động tùy chọn của người dùng","Optional System Action","Hành động tùy chọn của hệ thống",'Main Flow Steps'!D13))</f>
        <v>Hành động người dùng</v>
      </c>
      <c r="E36" s="40" t="str">
        <f>IFERROR(__xludf.DUMMYFUNCTION("IF('Main Flow Steps'!E13="""","""",IFERROR(GOOGLETRANSLATE('Main Flow Steps'!E13,""en"",""vi""),'Main Flow Steps'!E13))"),"Quản lý gia đình")</f>
        <v>Quản lý gia đình</v>
      </c>
      <c r="F36" s="40" t="str">
        <f>IFERROR(__xludf.DUMMYFUNCTION("IF('Main Flow Steps'!F13="""","""",IFERROR(GOOGLETRANSLATE('Main Flow Steps'!F13,""en"",""vi""),'Main Flow Steps'!F13))"),"Tạo liên kết mời cho thành viên mới.")</f>
        <v>Tạo liên kết mời cho thành viên mới.</v>
      </c>
      <c r="G36" s="40" t="str">
        <f>IFERROR(__xludf.DUMMYFUNCTION("IF('Main Flow Steps'!G13="""","""",IFERROR(GOOGLETRANSLATE('Main Flow Steps'!G13,""en"",""vi""),'Main Flow Steps'!G13))"),"Hệ thống tạo ra mã mời có chứa thông tin về gia đình.")</f>
        <v>Hệ thống tạo ra mã mời có chứa thông tin về gia đình.</v>
      </c>
      <c r="H36" s="40" t="str">
        <f>IF('Main Flow Steps'!H13="","",'Main Flow Steps'!H13)</f>
        <v>UC15</v>
      </c>
      <c r="I36" s="40" t="str">
        <f>IF('Main Flow Steps'!I13="","",'Main Flow Steps'!I13)</f>
        <v>BR-INV-01</v>
      </c>
      <c r="J36" s="40" t="str">
        <f>IFERROR(__xludf.DUMMYFUNCTION("IF('Main Flow Steps'!J13="""","""",IFERROR(GOOGLETRANSLATE('Main Flow Steps'!J13,""en"",""vi""),'Main Flow Steps'!J13))"),"Liên kết mời đã được tạo.")</f>
        <v>Liên kết mời đã được tạo.</v>
      </c>
      <c r="K36" s="40" t="str">
        <f>IFERROR(__xludf.DUMMYFUNCTION("IF('Main Flow Steps'!K13="""","""",IFERROR(GOOGLETRANSLATE('Main Flow Steps'!K13,""en"",""vi""),'Main Flow Steps'!K13))"),"Người dùng được mời sẽ không tự động trở thành Quản trị viên Gia đình khác.")</f>
        <v>Người dùng được mời sẽ không tự động trở thành Quản trị viên Gia đình khác.</v>
      </c>
    </row>
    <row r="37" ht="22.5" customHeight="1">
      <c r="A37" s="40" t="str">
        <f>IF('Main Flow Steps'!A16="","",'Main Flow Steps'!A16)</f>
        <v>F2</v>
      </c>
      <c r="B37" s="40" t="str">
        <f>IFERROR(__xludf.DUMMYFUNCTION("IF('Main Flow Steps'!B16="""","""",IFERROR(GOOGLETRANSLATE('Main Flow Steps'!B16,""en"",""vi""),'Main Flow Steps'!B16))"),"Quản lý thành viên, mối quan hệ và quyền được ủy quyền")</f>
        <v>Quản lý thành viên, mối quan hệ và quyền được ủy quyền</v>
      </c>
      <c r="C37" s="44">
        <f>IF('Main Flow Steps'!C16="","",'Main Flow Steps'!C16)</f>
        <v>5</v>
      </c>
      <c r="D37" s="40" t="str">
        <f>IF('Main Flow Steps'!D16="","",SWITCH('Main Flow Steps'!D16,"Start","Bắt đầu","End","Kết thúc","User Action","Hành động người dùng","System Action","Hành động hệ thống","Optional User Action","Hành động tùy chọn của người dùng","Optional System Action","Hành động tùy chọn của hệ thống",'Main Flow Steps'!D16))</f>
        <v>Management Action</v>
      </c>
      <c r="E37" s="40" t="str">
        <f>IFERROR(__xludf.DUMMYFUNCTION("IF('Main Flow Steps'!E16="""","""",IFERROR(GOOGLETRANSLATE('Main Flow Steps'!E16,""en"",""vi""),'Main Flow Steps'!E16))"),"Quản lý gia đình")</f>
        <v>Quản lý gia đình</v>
      </c>
      <c r="F37" s="40" t="str">
        <f>IFERROR(__xludf.DUMMYFUNCTION("IF('Main Flow Steps'!F16="""","""",IFERROR(GOOGLETRANSLATE('Main Flow Steps'!F16,""en"",""vi""),'Main Flow Steps'!F16))"),"Cập nhật thông tin về mối quan hệ của các thành viên, chẳng hạn như vợ/chồng, con cái, cha mẹ hoặc ông bà.")</f>
        <v>Cập nhật thông tin về mối quan hệ của các thành viên, chẳng hạn như vợ/chồng, con cái, cha mẹ hoặc ông bà.</v>
      </c>
      <c r="G37" s="40" t="str">
        <f>IFERROR(__xludf.DUMMYFUNCTION("IF('Main Flow Steps'!G16="""","""",IFERROR(GOOGLETRANSLATE('Main Flow Steps'!G16,""en"",""vi""),'Main Flow Steps'!G16))"),"Hệ thống lưu trữ thông tin về mối quan hệ một cách riêng biệt với vai trò trong hệ thống.")</f>
        <v>Hệ thống lưu trữ thông tin về mối quan hệ một cách riêng biệt với vai trò trong hệ thống.</v>
      </c>
      <c r="H37" s="40" t="str">
        <f>IF('Main Flow Steps'!H16="","",'Main Flow Steps'!H16)</f>
        <v>UC17</v>
      </c>
      <c r="I37" s="40" t="str">
        <f>IF('Main Flow Steps'!I16="","",'Main Flow Steps'!I16)</f>
        <v>BR-ROLE-03, BR-ROLE-04</v>
      </c>
      <c r="J37" s="40" t="str">
        <f>IFERROR(__xludf.DUMMYFUNCTION("IF('Main Flow Steps'!J16="""","""",IFERROR(GOOGLETRANSLATE('Main Flow Steps'!J16,""en"",""vi""),'Main Flow Steps'!J16))"),"Thành viên có cả vai trò và hồ sơ về mối quan hệ.")</f>
        <v>Thành viên có cả vai trò và hồ sơ về mối quan hệ.</v>
      </c>
      <c r="K37" s="40" t="str">
        <f>IFERROR(__xludf.DUMMYFUNCTION("IF('Main Flow Steps'!K16="""","""",IFERROR(GOOGLETRANSLATE('Main Flow Steps'!K16,""en"",""vi""),'Main Flow Steps'!K16))"),"Mối quan hệ không tự động cấp quyền truy cập hệ thống.")</f>
        <v>Mối quan hệ không tự động cấp quyền truy cập hệ thống.</v>
      </c>
    </row>
    <row r="38" ht="22.5" customHeight="1">
      <c r="A38" s="40" t="str">
        <f>IF('Main Flow Steps'!A17="","",'Main Flow Steps'!A17)</f>
        <v>F2</v>
      </c>
      <c r="B38" s="40" t="str">
        <f>IFERROR(__xludf.DUMMYFUNCTION("IF('Main Flow Steps'!B17="""","""",IFERROR(GOOGLETRANSLATE('Main Flow Steps'!B17,""en"",""vi""),'Main Flow Steps'!B17))"),"Quản lý thành viên, mối quan hệ và quyền được ủy quyền")</f>
        <v>Quản lý thành viên, mối quan hệ và quyền được ủy quyền</v>
      </c>
      <c r="C38" s="44">
        <f>IF('Main Flow Steps'!C17="","",'Main Flow Steps'!C17)</f>
        <v>6</v>
      </c>
      <c r="D38" s="40" t="str">
        <f>IF('Main Flow Steps'!D17="","",SWITCH('Main Flow Steps'!D17,"Start","Bắt đầu","End","Kết thúc","User Action","Hành động người dùng","System Action","Hành động hệ thống","Optional User Action","Hành động tùy chọn của người dùng","Optional System Action","Hành động tùy chọn của hệ thống",'Main Flow Steps'!D17))</f>
        <v>Optional Management Action</v>
      </c>
      <c r="E38" s="40" t="str">
        <f>IFERROR(__xludf.DUMMYFUNCTION("IF('Main Flow Steps'!E17="""","""",IFERROR(GOOGLETRANSLATE('Main Flow Steps'!E17,""en"",""vi""),'Main Flow Steps'!E17))"),"Quản lý gia đình")</f>
        <v>Quản lý gia đình</v>
      </c>
      <c r="F38" s="40" t="str">
        <f>IFERROR(__xludf.DUMMYFUNCTION("IF('Main Flow Steps'!F17="""","""",IFERROR(GOOGLETRANSLATE('Main Flow Steps'!F17,""en"",""vi""),'Main Flow Steps'!F17))"),"Grant đã ủy quyền cho một thành viên gia đình đáng tin cậy khi cần thiết.")</f>
        <v>Grant đã ủy quyền cho một thành viên gia đình đáng tin cậy khi cần thiết.</v>
      </c>
      <c r="G38" s="40" t="str">
        <f>IFERROR(__xludf.DUMMYFUNCTION("IF('Main Flow Steps'!G17="""","""",IFERROR(GOOGLETRANSLATE('Main Flow Steps'!G17,""en"",""vi""),'Main Flow Steps'!G17))"),"Hệ thống ghi lại phạm vi quyền hạn được ủy quyền.")</f>
        <v>Hệ thống ghi lại phạm vi quyền hạn được ủy quyền.</v>
      </c>
      <c r="H38" s="40" t="str">
        <f>IF('Main Flow Steps'!H17="","",'Main Flow Steps'!H17)</f>
        <v>UC18</v>
      </c>
      <c r="I38" s="40" t="str">
        <f>IF('Main Flow Steps'!I17="","",'Main Flow Steps'!I17)</f>
        <v>BR-ROLE-02</v>
      </c>
      <c r="J38" s="40" t="str">
        <f>IFERROR(__xludf.DUMMYFUNCTION("IF('Main Flow Steps'!J17="""","""",IFERROR(GOOGLETRANSLATE('Main Flow Steps'!J17,""en"",""vi""),'Main Flow Steps'!J17))"),"Thành viên được chọn sẽ nhận được quyền hạn ủy quyền hạn chế.")</f>
        <v>Thành viên được chọn sẽ nhận được quyền hạn ủy quyền hạn chế.</v>
      </c>
      <c r="K38" s="40" t="str">
        <f>IFERROR(__xludf.DUMMYFUNCTION("IF('Main Flow Steps'!K17="""","""",IFERROR(GOOGLETRANSLATE('Main Flow Steps'!K17,""en"",""vi""),'Main Flow Steps'!K17))"),"Ủy quyền không phải là người quản lý gia đình thứ hai; đó là quyền hạn được giới hạn.")</f>
        <v>Ủy quyền không phải là người quản lý gia đình thứ hai; đó là quyền hạn được giới hạn.</v>
      </c>
    </row>
    <row r="39" ht="22.5" customHeight="1">
      <c r="A39" s="40" t="str">
        <f>IF('Main Flow Steps'!A18="","",'Main Flow Steps'!A18)</f>
        <v>F2</v>
      </c>
      <c r="B39" s="40" t="str">
        <f>IFERROR(__xludf.DUMMYFUNCTION("IF('Main Flow Steps'!B18="""","""",IFERROR(GOOGLETRANSLATE('Main Flow Steps'!B18,""en"",""vi""),'Main Flow Steps'!B18))"),"Quản lý thành viên, mối quan hệ và quyền được ủy quyền")</f>
        <v>Quản lý thành viên, mối quan hệ và quyền được ủy quyền</v>
      </c>
      <c r="C39" s="44">
        <f>IF('Main Flow Steps'!C18="","",'Main Flow Steps'!C18)</f>
        <v>7</v>
      </c>
      <c r="D39" s="40" t="str">
        <f>IF('Main Flow Steps'!D18="","",SWITCH('Main Flow Steps'!D18,"Start","Bắt đầu","End","Kết thúc","User Action","Hành động người dùng","System Action","Hành động hệ thống","Optional User Action","Hành động tùy chọn của người dùng","Optional System Action","Hành động tùy chọn của hệ thống",'Main Flow Steps'!D18))</f>
        <v>Optional Management Action</v>
      </c>
      <c r="E39" s="40" t="str">
        <f>IFERROR(__xludf.DUMMYFUNCTION("IF('Main Flow Steps'!E18="""","""",IFERROR(GOOGLETRANSLATE('Main Flow Steps'!E18,""en"",""vi""),'Main Flow Steps'!E18))"),"Quản lý gia đình")</f>
        <v>Quản lý gia đình</v>
      </c>
      <c r="F39" s="40" t="str">
        <f>IFERROR(__xludf.DUMMYFUNCTION("IF('Main Flow Steps'!F18="""","""",IFERROR(GOOGLETRANSLATE('Main Flow Steps'!F18,""en"",""vi""),'Main Flow Steps'!F18))"),"Thu hồi quyền được ủy quyền khi cần thiết.")</f>
        <v>Thu hồi quyền được ủy quyền khi cần thiết.</v>
      </c>
      <c r="G39" s="40" t="str">
        <f>IFERROR(__xludf.DUMMYFUNCTION("IF('Main Flow Steps'!G18="""","""",IFERROR(GOOGLETRANSLATE('Main Flow Steps'!G18,""en"",""vi""),'Main Flow Steps'!G18))"),"Hệ thống loại bỏ phạm vi quyền được ủy quyền.")</f>
        <v>Hệ thống loại bỏ phạm vi quyền được ủy quyền.</v>
      </c>
      <c r="H39" s="40" t="str">
        <f>IF('Main Flow Steps'!H18="","",'Main Flow Steps'!H18)</f>
        <v>UC18</v>
      </c>
      <c r="I39" s="40" t="str">
        <f>IF('Main Flow Steps'!I18="","",'Main Flow Steps'!I18)</f>
        <v>BR-ROLE-02</v>
      </c>
      <c r="J39" s="40" t="str">
        <f>IFERROR(__xludf.DUMMYFUNCTION("IF('Main Flow Steps'!J18="""","""",IFERROR(GOOGLETRANSLATE('Main Flow Steps'!J18,""en"",""vi""),'Main Flow Steps'!J18))"),"Thành viên trở lại phạm vi quyền hạn bình thường.")</f>
        <v>Thành viên trở lại phạm vi quyền hạn bình thường.</v>
      </c>
      <c r="K39" s="40" t="str">
        <f>IFERROR(__xludf.DUMMYFUNCTION("IF('Main Flow Steps'!K18="""","""",IFERROR(GOOGLETRANSLATE('Main Flow Steps'!K18,""en"",""vi""),'Main Flow Steps'!K18))"),"Điều này cần được phản ánh trong nhật ký hoạt động/kiểm toán nếu được triển khai.")</f>
        <v>Điều này cần được phản ánh trong nhật ký hoạt động/kiểm toán nếu được triển khai.</v>
      </c>
    </row>
    <row r="40" ht="22.5" customHeight="1">
      <c r="A40" s="40" t="str">
        <f>IF('Main Flow Steps'!A19="","",'Main Flow Steps'!A19)</f>
        <v>F2</v>
      </c>
      <c r="B40" s="40" t="str">
        <f>IFERROR(__xludf.DUMMYFUNCTION("IF('Main Flow Steps'!B19="""","""",IFERROR(GOOGLETRANSLATE('Main Flow Steps'!B19,""en"",""vi""),'Main Flow Steps'!B19))"),"Quản lý thành viên, mối quan hệ và quyền được ủy quyền")</f>
        <v>Quản lý thành viên, mối quan hệ và quyền được ủy quyền</v>
      </c>
      <c r="C40" s="44">
        <f>IF('Main Flow Steps'!C19="","",'Main Flow Steps'!C19)</f>
        <v>8</v>
      </c>
      <c r="D40" s="40" t="str">
        <f>IF('Main Flow Steps'!D19="","",SWITCH('Main Flow Steps'!D19,"Start","Bắt đầu","End","Kết thúc","User Action","Hành động người dùng","System Action","Hành động hệ thống","Optional User Action","Hành động tùy chọn của người dùng","Optional System Action","Hành động tùy chọn của hệ thống",'Main Flow Steps'!D19))</f>
        <v>Optional Management Action</v>
      </c>
      <c r="E40" s="40" t="str">
        <f>IFERROR(__xludf.DUMMYFUNCTION("IF('Main Flow Steps'!E19="""","""",IFERROR(GOOGLETRANSLATE('Main Flow Steps'!E19,""en"",""vi""),'Main Flow Steps'!E19))"),"Quản lý gia đình")</f>
        <v>Quản lý gia đình</v>
      </c>
      <c r="F40" s="40" t="str">
        <f>IFERROR(__xludf.DUMMYFUNCTION("IF('Main Flow Steps'!F19="""","""",IFERROR(GOOGLETRANSLATE('Main Flow Steps'!F19,""en"",""vi""),'Main Flow Steps'!F19))"),"Xóa hoặc vô hiệu hóa thành viên.")</f>
        <v>Xóa hoặc vô hiệu hóa thành viên.</v>
      </c>
      <c r="G40" s="40" t="str">
        <f>IFERROR(__xludf.DUMMYFUNCTION("IF('Main Flow Steps'!G19="""","""",IFERROR(GOOGLETRANSLATE('Main Flow Steps'!G19,""en"",""vi""),'Main Flow Steps'!G19))"),"Hệ thống kiểm tra quyền truy cập và cập nhật trạng thái thành viên.")</f>
        <v>Hệ thống kiểm tra quyền truy cập và cập nhật trạng thái thành viên.</v>
      </c>
      <c r="H40" s="40" t="str">
        <f>IF('Main Flow Steps'!H19="","",'Main Flow Steps'!H19)</f>
        <v>UC19</v>
      </c>
      <c r="I40" s="40" t="str">
        <f>IF('Main Flow Steps'!I19="","",'Main Flow Steps'!I19)</f>
        <v>BR-AUTH-02, BR-ROLE-01</v>
      </c>
      <c r="J40" s="40" t="str">
        <f>IFERROR(__xludf.DUMMYFUNCTION("IF('Main Flow Steps'!J19="""","""",IFERROR(GOOGLETRANSLATE('Main Flow Steps'!J19,""en"",""vi""),'Main Flow Steps'!J19))"),"Thành viên bị xóa hoặc vô hiệu hóa khỏi không gian làm việc.")</f>
        <v>Thành viên bị xóa hoặc vô hiệu hóa khỏi không gian làm việc.</v>
      </c>
      <c r="K40" s="40" t="str">
        <f>IFERROR(__xludf.DUMMYFUNCTION("IF('Main Flow Steps'!K19="""","""",IFERROR(GOOGLETRANSLATE('Main Flow Steps'!K19,""en"",""vi""),'Main Flow Steps'!K19))"),"Đây là một thủ tục hành chính, không phải là bước bắt buộc sau khi nhận được thư mời.")</f>
        <v>Đây là một thủ tục hành chính, không phải là bước bắt buộc sau khi nhận được thư mời.</v>
      </c>
    </row>
    <row r="41" ht="22.5" customHeight="1">
      <c r="A41" s="40" t="str">
        <f>IF('Main Flow Steps'!A59="","",'Main Flow Steps'!A59)</f>
        <v>F5</v>
      </c>
      <c r="B41" s="40" t="str">
        <f>IFERROR(__xludf.DUMMYFUNCTION("IF('Main Flow Steps'!B59="""","""",IFERROR(GOOGLETRANSLATE('Main Flow Steps'!B59,""en"",""vi""),'Main Flow Steps'!B59))"),"Cảnh báo SOS, An toàn đeo được và Quản lý phản ứng an toàn")</f>
        <v>Cảnh báo SOS, An toàn đeo được và Quản lý phản ứng an toàn</v>
      </c>
      <c r="C41" s="44">
        <f>IF('Main Flow Steps'!C59="","",'Main Flow Steps'!C59)</f>
        <v>5</v>
      </c>
      <c r="D41" s="40" t="str">
        <f>IF('Main Flow Steps'!D59="","",SWITCH('Main Flow Steps'!D59,"Start","Bắt đầu","End","Kết thúc","User Action","Hành động người dùng","System Action","Hành động hệ thống","Optional User Action","Hành động tùy chọn của người dùng","Optional System Action","Hành động tùy chọn của hệ thống",'Main Flow Steps'!D59))</f>
        <v>Hành động người dùng</v>
      </c>
      <c r="E41" s="40" t="str">
        <f>IFERROR(__xludf.DUMMYFUNCTION("IF('Main Flow Steps'!E59="""","""",IFERROR(GOOGLETRANSLATE('Main Flow Steps'!E59,""en"",""vi""),'Main Flow Steps'!E59))"),"Tất cả các thành viên trong gia đình")</f>
        <v>Tất cả các thành viên trong gia đình</v>
      </c>
      <c r="F41" s="40" t="str">
        <f>IFERROR(__xludf.DUMMYFUNCTION("IF('Main Flow Steps'!F59="""","""",IFERROR(GOOGLETRANSLATE('Main Flow Steps'!F59,""en"",""vi""),'Main Flow Steps'!F59))"),"Mở chi tiết cảnh báo SOS và xem bối cảnh khẩn cấp.")</f>
        <v>Mở chi tiết cảnh báo SOS và xem bối cảnh khẩn cấp.</v>
      </c>
      <c r="G41" s="40" t="str">
        <f>IFERROR(__xludf.DUMMYFUNCTION("IF('Main Flow Steps'!G59="""","""",IFERROR(GOOGLETRANSLATE('Main Flow Steps'!G59,""en"",""vi""),'Main Flow Steps'!G59))"),"Hệ thống hiển thị thành viên/thiết bị kích hoạt, thời gian, trạng thái, vị trí mới nhất/cơ bản và các hành động phản hồi khả dụng.")</f>
        <v>Hệ thống hiển thị thành viên/thiết bị kích hoạt, thời gian, trạng thái, vị trí mới nhất/cơ bản và các hành động phản hồi khả dụng.</v>
      </c>
      <c r="H41" s="40" t="str">
        <f>IF('Main Flow Steps'!H59="","",'Main Flow Steps'!H59)</f>
        <v>UC51, UC54, UC59</v>
      </c>
      <c r="I41" s="40" t="str">
        <f>IF('Main Flow Steps'!I59="","",'Main Flow Steps'!I59)</f>
        <v>BR-SOS-04, BR-SOS-05</v>
      </c>
      <c r="J41" s="40" t="str">
        <f>IFERROR(__xludf.DUMMYFUNCTION("IF('Main Flow Steps'!J59="""","""",IFERROR(GOOGLETRANSLATE('Main Flow Steps'!J59,""en"",""vi""),'Main Flow Steps'!J59))"),"Gia đình hiểu rõ hoàn cảnh khẩn cấp.")</f>
        <v>Gia đình hiểu rõ hoàn cảnh khẩn cấp.</v>
      </c>
      <c r="K41" s="40" t="str">
        <f>IFERROR(__xludf.DUMMYFUNCTION("IF('Main Flow Steps'!K59="""","""",IFERROR(GOOGLETRANSLATE('Main Flow Steps'!K59,""en"",""vi""),'Main Flow Steps'!K59))"),"Không nên tích hợp dịch vụ cứu hộ thực tế vào phiên bản MVP.")</f>
        <v>Không nên tích hợp dịch vụ cứu hộ thực tế vào phiên bản MVP.</v>
      </c>
    </row>
    <row r="42" ht="22.5" customHeight="1">
      <c r="A42" s="40" t="str">
        <f>IF('Main Flow Steps'!A70="","",'Main Flow Steps'!A70)</f>
        <v>SF1</v>
      </c>
      <c r="B42" s="40" t="str">
        <f>IFERROR(__xludf.DUMMYFUNCTION("IF('Main Flow Steps'!B70="""","""",IFERROR(GOOGLETRANSLATE('Main Flow Steps'!B70,""en"",""vi""),'Main Flow Steps'!B70))"),"Giao tiếp gia đình, lịch và album")</f>
        <v>Giao tiếp gia đình, lịch và album</v>
      </c>
      <c r="C42" s="44">
        <f>IF('Main Flow Steps'!C70="","",'Main Flow Steps'!C70)</f>
        <v>1</v>
      </c>
      <c r="D42" s="40" t="str">
        <f>IF('Main Flow Steps'!D70="","",SWITCH('Main Flow Steps'!D70,"Start","Bắt đầu","End","Kết thúc","User Action","Hành động người dùng","System Action","Hành động hệ thống","Optional User Action","Hành động tùy chọn của người dùng","Optional System Action","Hành động tùy chọn của hệ thống",'Main Flow Steps'!D70))</f>
        <v>Bắt đầu</v>
      </c>
      <c r="E42" s="40" t="str">
        <f>IFERROR(__xludf.DUMMYFUNCTION("IF('Main Flow Steps'!E70="""","""",IFERROR(GOOGLETRANSLATE('Main Flow Steps'!E70,""en"",""vi""),'Main Flow Steps'!E70))"),"Tất cả các thành viên trong gia đình")</f>
        <v>Tất cả các thành viên trong gia đình</v>
      </c>
      <c r="F42" s="40" t="str">
        <f>IFERROR(__xludf.DUMMYFUNCTION("IF('Main Flow Steps'!F70="""","""",IFERROR(GOOGLETRANSLATE('Main Flow Steps'!F70,""en"",""vi""),'Main Flow Steps'!F70))"),"Mở khu vực giao tiếp, lịch hoặc album.")</f>
        <v>Mở khu vực giao tiếp, lịch hoặc album.</v>
      </c>
      <c r="G42" s="40" t="str">
        <f>IFERROR(__xludf.DUMMYFUNCTION("IF('Main Flow Steps'!G70="""","""",IFERROR(GOOGLETRANSLATE('Main Flow Steps'!G70,""en"",""vi""),'Main Flow Steps'!G70))"),"Hệ thống kiểm tra xem người dùng có thuộc Không gian làm việc gia đình hay không và cho phép truy cập vào các tính năng.")</f>
        <v>Hệ thống kiểm tra xem người dùng có thuộc Không gian làm việc gia đình hay không và cho phép truy cập vào các tính năng.</v>
      </c>
      <c r="H42" s="40" t="str">
        <f>IF('Main Flow Steps'!H70="","",'Main Flow Steps'!H70)</f>
        <v>UC60, UC61, UC70, UC72</v>
      </c>
      <c r="I42" s="40" t="str">
        <f>IF('Main Flow Steps'!I70="","",'Main Flow Steps'!I70)</f>
        <v>BR-COM-01, BR-COM-02, BR-AUTH-02</v>
      </c>
      <c r="J42" s="40" t="str">
        <f>IFERROR(__xludf.DUMMYFUNCTION("IF('Main Flow Steps'!J70="""","""",IFERROR(GOOGLETRANSLATE('Main Flow Steps'!J70,""en"",""vi""),'Main Flow Steps'!J70))"),"Khu vực phối hợp hỗ trợ được hiển thị.")</f>
        <v>Khu vực phối hợp hỗ trợ được hiển thị.</v>
      </c>
      <c r="K42" s="40" t="str">
        <f>IFERROR(__xludf.DUMMYFUNCTION("IF('Main Flow Steps'!K70="""","""",IFERROR(GOOGLETRANSLATE('Main Flow Steps'!K70,""en"",""vi""),'Main Flow Steps'!K70))"),"Chỉ hỗ trợ luồng thông tin; không nên xây dựng quá nhiều nội dung trò chuyện/album trước khi tập trung vào tài chính và SOS.")</f>
        <v>Chỉ hỗ trợ luồng thông tin; không nên xây dựng quá nhiều nội dung trò chuyện/album trước khi tập trung vào tài chính và SOS.</v>
      </c>
    </row>
    <row r="43" ht="22.5" customHeight="1">
      <c r="A43" s="40" t="str">
        <f>IF('Main Flow Steps'!A71="","",'Main Flow Steps'!A71)</f>
        <v>SF1</v>
      </c>
      <c r="B43" s="40" t="str">
        <f>IFERROR(__xludf.DUMMYFUNCTION("IF('Main Flow Steps'!B71="""","""",IFERROR(GOOGLETRANSLATE('Main Flow Steps'!B71,""en"",""vi""),'Main Flow Steps'!B71))"),"Giao tiếp gia đình, lịch và album")</f>
        <v>Giao tiếp gia đình, lịch và album</v>
      </c>
      <c r="C43" s="44">
        <f>IF('Main Flow Steps'!C71="","",'Main Flow Steps'!C71)</f>
        <v>2</v>
      </c>
      <c r="D43" s="40" t="str">
        <f>IF('Main Flow Steps'!D71="","",SWITCH('Main Flow Steps'!D71,"Start","Bắt đầu","End","Kết thúc","User Action","Hành động người dùng","System Action","Hành động hệ thống","Optional User Action","Hành động tùy chọn của người dùng","Optional System Action","Hành động tùy chọn của hệ thống",'Main Flow Steps'!D71))</f>
        <v>Hành động người dùng</v>
      </c>
      <c r="E43" s="40" t="str">
        <f>IFERROR(__xludf.DUMMYFUNCTION("IF('Main Flow Steps'!E71="""","""",IFERROR(GOOGLETRANSLATE('Main Flow Steps'!E71,""en"",""vi""),'Main Flow Steps'!E71))"),"Tất cả các thành viên trong gia đình")</f>
        <v>Tất cả các thành viên trong gia đình</v>
      </c>
      <c r="F43" s="40" t="str">
        <f>IFERROR(__xludf.DUMMYFUNCTION("IF('Main Flow Steps'!F71="""","""",IFERROR(GOOGLETRANSLATE('Main Flow Steps'!F71,""en"",""vi""),'Main Flow Steps'!F71))"),"Gửi hoặc nhận thông báo/tin nhắn trò chuyện với gia đình.")</f>
        <v>Gửi hoặc nhận thông báo/tin nhắn trò chuyện với gia đình.</v>
      </c>
      <c r="G43" s="40" t="str">
        <f>IFERROR(__xludf.DUMMYFUNCTION("IF('Main Flow Steps'!G71="""","""",IFERROR(GOOGLETRANSLATE('Main Flow Steps'!G71,""en"",""vi""),'Main Flow Steps'!G71))"),"Hệ thống lưu trữ tin nhắn/thông báo trong cùng một Không gian làm việc gia đình và ngăn chặn việc truy cập chéo giữa các thành viên trong gia đình.")</f>
        <v>Hệ thống lưu trữ tin nhắn/thông báo trong cùng một Không gian làm việc gia đình và ngăn chặn việc truy cập chéo giữa các thành viên trong gia đình.</v>
      </c>
      <c r="H43" s="40" t="str">
        <f>IF('Main Flow Steps'!H71="","",'Main Flow Steps'!H71)</f>
        <v>UC60, UC61, UC62</v>
      </c>
      <c r="I43" s="40" t="str">
        <f>IF('Main Flow Steps'!I71="","",'Main Flow Steps'!I71)</f>
        <v>BR-COM-01, BR-COM-02</v>
      </c>
      <c r="J43" s="40" t="str">
        <f>IFERROR(__xludf.DUMMYFUNCTION("IF('Main Flow Steps'!J71="""","""",IFERROR(GOOGLETRANSLATE('Main Flow Steps'!J71,""en"",""vi""),'Main Flow Steps'!J71))"),"Tin nhắn hoặc thông báo đã được gửi.")</f>
        <v>Tin nhắn hoặc thông báo đã được gửi.</v>
      </c>
      <c r="K43" s="40" t="str">
        <f>IFERROR(__xludf.DUMMYFUNCTION("IF('Main Flow Steps'!K71="""","""",IFERROR(GOOGLETRANSLATE('Main Flow Steps'!K71,""en"",""vi""),'Main Flow Steps'!K71))"),"Tính năng trò chuyện bằng văn bản là đủ cho phiên bản MVP; trò chuyện riêng tư có thể để ở chế độ ""có thể có"".")</f>
        <v>Tính năng trò chuyện bằng văn bản là đủ cho phiên bản MVP; trò chuyện riêng tư có thể để ở chế độ "có thể có".</v>
      </c>
    </row>
    <row r="44" ht="22.5" customHeight="1">
      <c r="A44" s="40" t="str">
        <f>IF('Main Flow Steps'!A73="","",'Main Flow Steps'!A73)</f>
        <v>SF1</v>
      </c>
      <c r="B44" s="40" t="str">
        <f>IFERROR(__xludf.DUMMYFUNCTION("IF('Main Flow Steps'!B73="""","""",IFERROR(GOOGLETRANSLATE('Main Flow Steps'!B73,""en"",""vi""),'Main Flow Steps'!B73))"),"Giao tiếp gia đình, lịch và album")</f>
        <v>Giao tiếp gia đình, lịch và album</v>
      </c>
      <c r="C44" s="44">
        <f>IF('Main Flow Steps'!C73="","",'Main Flow Steps'!C73)</f>
        <v>4</v>
      </c>
      <c r="D44" s="40" t="str">
        <f>IF('Main Flow Steps'!D73="","",SWITCH('Main Flow Steps'!D73,"Start","Bắt đầu","End","Kết thúc","User Action","Hành động người dùng","System Action","Hành động hệ thống","Optional User Action","Hành động tùy chọn của người dùng","Optional System Action","Hành động tùy chọn của hệ thống",'Main Flow Steps'!D73))</f>
        <v>Hành động người dùng</v>
      </c>
      <c r="E44" s="40" t="str">
        <f>IFERROR(__xludf.DUMMYFUNCTION("IF('Main Flow Steps'!E73="""","""",IFERROR(GOOGLETRANSLATE('Main Flow Steps'!E73,""en"",""vi""),'Main Flow Steps'!E73))"),"Tất cả các thành viên trong gia đình")</f>
        <v>Tất cả các thành viên trong gia đình</v>
      </c>
      <c r="F44" s="40" t="str">
        <f>IFERROR(__xludf.DUMMYFUNCTION("IF('Main Flow Steps'!F73="""","""",IFERROR(GOOGLETRANSLATE('Main Flow Steps'!F73,""en"",""vi""),'Main Flow Steps'!F73))"),"Tải lên và xem các phương tiện truyền thông trong album gia đình được chia sẻ.")</f>
        <v>Tải lên và xem các phương tiện truyền thông trong album gia đình được chia sẻ.</v>
      </c>
      <c r="G44" s="40" t="str">
        <f>IFERROR(__xludf.DUMMYFUNCTION("IF('Main Flow Steps'!G73="""","""",IFERROR(GOOGLETRANSLATE('Main Flow Steps'!G73,""en"",""vi""),'Main Flow Steps'!G73))"),"Hệ thống lưu trữ phương tiện truyền thông trong album dùng chung và chỉ hiển thị cho các thành viên gia đình được cho phép.")</f>
        <v>Hệ thống lưu trữ phương tiện truyền thông trong album dùng chung và chỉ hiển thị cho các thành viên gia đình được cho phép.</v>
      </c>
      <c r="H44" s="40" t="str">
        <f>IF('Main Flow Steps'!H73="","",'Main Flow Steps'!H73)</f>
        <v>UC72, UC73</v>
      </c>
      <c r="I44" s="40" t="str">
        <f>IF('Main Flow Steps'!I73="","",'Main Flow Steps'!I73)</f>
        <v>BR-ALB-01, BR-AUTH-02</v>
      </c>
      <c r="J44" s="40" t="str">
        <f>IFERROR(__xludf.DUMMYFUNCTION("IF('Main Flow Steps'!J73="""","""",IFERROR(GOOGLETRANSLATE('Main Flow Steps'!J73,""en"",""vi""),'Main Flow Steps'!J73))"),"Có thể chia sẻ phương tiện album.")</f>
        <v>Có thể chia sẻ phương tiện album.</v>
      </c>
      <c r="K44" s="40" t="str">
        <f>IFERROR(__xludf.DUMMYFUNCTION("IF('Main Flow Steps'!K73="""","""",IFERROR(GOOGLETRANSLATE('Main Flow Steps'!K73,""en"",""vi""),'Main Flow Steps'!K73))"),"Tính năng chia sẻ album cơ bản vẫn được duy trì.")</f>
        <v>Tính năng chia sẻ album cơ bản vẫn được duy trì.</v>
      </c>
    </row>
    <row r="45" ht="22.5" customHeight="1">
      <c r="A45" s="40" t="str">
        <f>IF('Main Flow Steps'!A74="","",'Main Flow Steps'!A74)</f>
        <v>SF1</v>
      </c>
      <c r="B45" s="40" t="str">
        <f>IFERROR(__xludf.DUMMYFUNCTION("IF('Main Flow Steps'!B74="""","""",IFERROR(GOOGLETRANSLATE('Main Flow Steps'!B74,""en"",""vi""),'Main Flow Steps'!B74))"),"Giao tiếp gia đình, lịch và album")</f>
        <v>Giao tiếp gia đình, lịch và album</v>
      </c>
      <c r="C45" s="44">
        <f>IF('Main Flow Steps'!C74="","",'Main Flow Steps'!C74)</f>
        <v>5</v>
      </c>
      <c r="D45" s="40" t="str">
        <f>IF('Main Flow Steps'!D74="","",SWITCH('Main Flow Steps'!D74,"Start","Bắt đầu","End","Kết thúc","User Action","Hành động người dùng","System Action","Hành động hệ thống","Optional User Action","Hành động tùy chọn của người dùng","Optional System Action","Hành động tùy chọn của hệ thống",'Main Flow Steps'!D74))</f>
        <v>Hành động tùy chọn của người dùng</v>
      </c>
      <c r="E45" s="40" t="str">
        <f>IFERROR(__xludf.DUMMYFUNCTION("IF('Main Flow Steps'!E74="""","""",IFERROR(GOOGLETRANSLATE('Main Flow Steps'!E74,""en"",""vi""),'Main Flow Steps'!E74))"),"Tất cả các thành viên trong gia đình")</f>
        <v>Tất cả các thành viên trong gia đình</v>
      </c>
      <c r="F45" s="40" t="str">
        <f>IFERROR(__xludf.DUMMYFUNCTION("IF('Main Flow Steps'!F74="""","""",IFERROR(GOOGLETRANSLATE('Main Flow Steps'!F74,""en"",""vi""),'Main Flow Steps'!F74))"),"Gắn thẻ thủ công các thành viên gia đình vào ảnh/video.")</f>
        <v>Gắn thẻ thủ công các thành viên gia đình vào ảnh/video.</v>
      </c>
      <c r="G45" s="40" t="str">
        <f>IFERROR(__xludf.DUMMYFUNCTION("IF('Main Flow Steps'!G74="""","""",IFERROR(GOOGLETRANSLATE('Main Flow Steps'!G74,""en"",""vi""),'Main Flow Steps'!G74))"),"Hệ thống lưu thẻ sau khi kiểm tra quyền và cập nhật nhóm/hiển thị album.")</f>
        <v>Hệ thống lưu thẻ sau khi kiểm tra quyền và cập nhật nhóm/hiển thị album.</v>
      </c>
      <c r="H45" s="40" t="str">
        <f>IF('Main Flow Steps'!H74="","",'Main Flow Steps'!H74)</f>
        <v>UC74</v>
      </c>
      <c r="I45" s="40" t="str">
        <f>IF('Main Flow Steps'!I74="","",'Main Flow Steps'!I74)</f>
        <v>BR-ALB-02</v>
      </c>
      <c r="J45" s="40" t="str">
        <f>IFERROR(__xludf.DUMMYFUNCTION("IF('Main Flow Steps'!J74="""","""",IFERROR(GOOGLETRANSLATE('Main Flow Steps'!J74,""en"",""vi""),'Main Flow Steps'!J74))"),"Việc gắn thẻ album thủ công đã được lưu.")</f>
        <v>Việc gắn thẻ album thủ công đã được lưu.</v>
      </c>
      <c r="K45" s="40" t="str">
        <f>IFERROR(__xludf.DUMMYFUNCTION("IF('Main Flow Steps'!K74="""","""",IFERROR(GOOGLETRANSLATE('Main Flow Steps'!K74,""en"",""vi""),'Main Flow Steps'!K74))"),"Gắn thẻ thủ công an toàn hơn cho MVP so với việc phân cụm khuôn mặt hoàn toàn bằng AI.")</f>
        <v>Gắn thẻ thủ công an toàn hơn cho MVP so với việc phân cụm khuôn mặt hoàn toàn bằng AI.</v>
      </c>
    </row>
    <row r="46" ht="22.5" customHeight="1">
      <c r="A46" s="40" t="str">
        <f>IF('Main Flow Steps'!A24="","",'Main Flow Steps'!A24)</f>
        <v>F3</v>
      </c>
      <c r="B46" s="40" t="str">
        <f>IFERROR(__xludf.DUMMYFUNCTION("IF('Main Flow Steps'!B24="""","""",IFERROR(GOOGLETRANSLATE('Main Flow Steps'!B24,""en"",""vi""),'Main Flow Steps'!B24))"),"Lập kế hoạch tài chính gia đình, sổ quỹ và ngân sách dựa trên mục tiêu.")</f>
        <v>Lập kế hoạch tài chính gia đình, sổ quỹ và ngân sách dựa trên mục tiêu.</v>
      </c>
      <c r="C46" s="44">
        <f>IF('Main Flow Steps'!C24="","",'Main Flow Steps'!C24)</f>
        <v>4</v>
      </c>
      <c r="D46" s="40" t="str">
        <f>IF('Main Flow Steps'!D24="","",SWITCH('Main Flow Steps'!D24,"Start","Bắt đầu","End","Kết thúc","User Action","Hành động người dùng","System Action","Hành động hệ thống","Optional User Action","Hành động tùy chọn của người dùng","Optional System Action","Hành động tùy chọn của hệ thống",'Main Flow Steps'!D24))</f>
        <v>Hành động người dùng</v>
      </c>
      <c r="E46" s="40" t="str">
        <f>IFERROR(__xludf.DUMMYFUNCTION("IF('Main Flow Steps'!E24="""","""",IFERROR(GOOGLETRANSLATE('Main Flow Steps'!E24,""en"",""vi""),'Main Flow Steps'!E24))"),"Thành viên gia đình")</f>
        <v>Thành viên gia đình</v>
      </c>
      <c r="F46" s="40" t="str">
        <f>IFERROR(__xludf.DUMMYFUNCTION("IF('Main Flow Steps'!F24="""","""",IFERROR(GOOGLETRANSLATE('Main Flow Steps'!F24,""en"",""vi""),'Main Flow Steps'!F24))"),"Thiết lập hoặc cập nhật thu nhập cá nhân và chi phí cá nhân dự kiến/thực tế.")</f>
        <v>Thiết lập hoặc cập nhật thu nhập cá nhân và chi phí cá nhân dự kiến/thực tế.</v>
      </c>
      <c r="G46" s="40" t="str">
        <f>IFERROR(__xludf.DUMMYFUNCTION("IF('Main Flow Steps'!G24="""","""",IFERROR(GOOGLETRANSLATE('Main Flow Steps'!G24,""en"",""vi""),'Main Flow Steps'!G24))"),"Hệ thống lưu trữ dữ liệu tài chính cá nhân thuộc sở hữu của thành viên và áp dụng các quy tắc bảo mật.")</f>
        <v>Hệ thống lưu trữ dữ liệu tài chính cá nhân thuộc sở hữu của thành viên và áp dụng các quy tắc bảo mật.</v>
      </c>
      <c r="H46" s="40" t="str">
        <f>IF('Main Flow Steps'!H24="","",'Main Flow Steps'!H24)</f>
        <v>UC22, UC27</v>
      </c>
      <c r="I46" s="40" t="str">
        <f>IF('Main Flow Steps'!I24="","",'Main Flow Steps'!I24)</f>
        <v>BR-FIN-05, BR-FIN-06</v>
      </c>
      <c r="J46" s="40" t="str">
        <f>IFERROR(__xludf.DUMMYFUNCTION("IF('Main Flow Steps'!J24="""","""",IFERROR(GOOGLETRANSLATE('Main Flow Steps'!J24,""en"",""vi""),'Main Flow Steps'!J24))"),"Dữ liệu tài chính cá nhân được lưu bởi thành viên sở hữu tài khoản.")</f>
        <v>Dữ liệu tài chính cá nhân được lưu bởi thành viên sở hữu tài khoản.</v>
      </c>
      <c r="K46" s="40" t="str">
        <f>IFERROR(__xludf.DUMMYFUNCTION("IF('Main Flow Steps'!K24="""","""",IFERROR(GOOGLETRANSLATE('Main Flow Steps'!K24,""en"",""vi""),'Main Flow Steps'!K24))"),"Theo mặc định, Family Manager không nên trực tiếp chỉnh sửa dữ liệu tài chính cá nhân của thành viên khác.")</f>
        <v>Theo mặc định, Family Manager không nên trực tiếp chỉnh sửa dữ liệu tài chính cá nhân của thành viên khác.</v>
      </c>
    </row>
    <row r="47" ht="22.5" customHeight="1">
      <c r="A47" s="40" t="str">
        <f>IF('Main Flow Steps'!A37="","",'Main Flow Steps'!A37)</f>
        <v>F3</v>
      </c>
      <c r="B47" s="40" t="str">
        <f>IFERROR(__xludf.DUMMYFUNCTION("IF('Main Flow Steps'!B37="""","""",IFERROR(GOOGLETRANSLATE('Main Flow Steps'!B37,""en"",""vi""),'Main Flow Steps'!B37))"),"Lập kế hoạch tài chính gia đình và quản lý sổ quỹ")</f>
        <v>Lập kế hoạch tài chính gia đình và quản lý sổ quỹ</v>
      </c>
      <c r="C47" s="44">
        <f>IF('Main Flow Steps'!C37="","",'Main Flow Steps'!C37)</f>
        <v>7</v>
      </c>
      <c r="D47" s="40" t="str">
        <f>IF('Main Flow Steps'!D37="","",SWITCH('Main Flow Steps'!D37,"Start","Bắt đầu","End","Kết thúc","User Action","Hành động người dùng","System Action","Hành động hệ thống","Optional User Action","Hành động tùy chọn của người dùng","Optional System Action","Hành động tùy chọn của hệ thống",'Main Flow Steps'!D37))</f>
        <v>Hành động người dùng</v>
      </c>
      <c r="E47" s="40" t="str">
        <f>IFERROR(__xludf.DUMMYFUNCTION("IF('Main Flow Steps'!E37="""","""",IFERROR(GOOGLETRANSLATE('Main Flow Steps'!E37,""en"",""vi""),'Main Flow Steps'!E37))"),"Thành viên gia đình")</f>
        <v>Thành viên gia đình</v>
      </c>
      <c r="F47" s="40" t="str">
        <f>IFERROR(__xludf.DUMMYFUNCTION("IF('Main Flow Steps'!F37="""","""",IFERROR(GOOGLETRANSLATE('Main Flow Steps'!F37,""en"",""vi""),'Main Flow Steps'!F37))"),"Hãy gửi yêu cầu hỗ trợ chi tiêu khi cần sự hỗ trợ từ gia đình hoặc phê duyệt trợ cấp.")</f>
        <v>Hãy gửi yêu cầu hỗ trợ chi tiêu khi cần sự hỗ trợ từ gia đình hoặc phê duyệt trợ cấp.</v>
      </c>
      <c r="G47" s="40" t="str">
        <f>IFERROR(__xludf.DUMMYFUNCTION("IF('Main Flow Steps'!G37="""","""",IFERROR(GOOGLETRANSLATE('Main Flow Steps'!G37,""en"",""vi""),'Main Flow Steps'!G37))"),"Hệ thống tạo yêu cầu với trạng thái Đang chờ xử lý và thông báo cho Quản lý/Phó Quản lý Gia đình.")</f>
        <v>Hệ thống tạo yêu cầu với trạng thái Đang chờ xử lý và thông báo cho Quản lý/Phó Quản lý Gia đình.</v>
      </c>
      <c r="H47" s="40" t="str">
        <f>IF('Main Flow Steps'!H37="","",'Main Flow Steps'!H37)</f>
        <v>UC34, UC60</v>
      </c>
      <c r="I47" s="40" t="str">
        <f>IF('Main Flow Steps'!I37="","",'Main Flow Steps'!I37)</f>
        <v>BR-FIN-02, BR-FIN-07, BR-COM-01</v>
      </c>
      <c r="J47" s="40" t="str">
        <f>IFERROR(__xludf.DUMMYFUNCTION("IF('Main Flow Steps'!J37="""","""",IFERROR(GOOGLETRANSLATE('Main Flow Steps'!J37,""en"",""vi""),'Main Flow Steps'!J37))"),"Yêu cầu hỗ trợ chi tiêu đang chờ phê duyệt.")</f>
        <v>Yêu cầu hỗ trợ chi tiêu đang chờ phê duyệt.</v>
      </c>
      <c r="K47" s="40" t="str">
        <f>IFERROR(__xludf.DUMMYFUNCTION("IF('Main Flow Steps'!K37="""","""",IFERROR(GOOGLETRANSLATE('Main Flow Steps'!K37,""en"",""vi""),'Main Flow Steps'!K37))"),"Thành viên không thể rút tiền trực tiếp từ quỹ gia đình. Đây chỉ là quy trình phê duyệt.")</f>
        <v>Thành viên không thể rút tiền trực tiếp từ quỹ gia đình. Đây chỉ là quy trình phê duyệt.</v>
      </c>
    </row>
    <row r="48" ht="22.5" customHeight="1">
      <c r="A48" s="40" t="str">
        <f>IF('Main Flow Steps'!A45="","",'Main Flow Steps'!A45)</f>
        <v>F4</v>
      </c>
      <c r="B48" s="40" t="str">
        <f>IFERROR(__xludf.DUMMYFUNCTION("IF('Main Flow Steps'!B45="""","""",IFERROR(GOOGLETRANSLATE('Main Flow Steps'!B45,""en"",""vi""),'Main Flow Steps'!B45))"),"Điều phối công việc nhà và quản lý việc phân chia phần thưởng")</f>
        <v>Điều phối công việc nhà và quản lý việc phân chia phần thưởng</v>
      </c>
      <c r="C48" s="44">
        <f>IF('Main Flow Steps'!C45="","",'Main Flow Steps'!C45)</f>
        <v>4</v>
      </c>
      <c r="D48" s="40" t="str">
        <f>IF('Main Flow Steps'!D45="","",SWITCH('Main Flow Steps'!D45,"Start","Bắt đầu","End","Kết thúc","User Action","Hành động người dùng","System Action","Hành động hệ thống","Optional User Action","Hành động tùy chọn của người dùng","Optional System Action","Hành động tùy chọn của hệ thống",'Main Flow Steps'!D45))</f>
        <v>Hành động tùy chọn của người dùng</v>
      </c>
      <c r="E48" s="40" t="str">
        <f>IFERROR(__xludf.DUMMYFUNCTION("IF('Main Flow Steps'!E45="""","""",IFERROR(GOOGLETRANSLATE('Main Flow Steps'!E45,""en"",""vi""),'Main Flow Steps'!E45))"),"Thành viên gia đình")</f>
        <v>Thành viên gia đình</v>
      </c>
      <c r="F48" s="40" t="str">
        <f>IFERROR(__xludf.DUMMYFUNCTION("IF('Main Flow Steps'!F45="""","""",IFERROR(GOOGLETRANSLATE('Main Flow Steps'!F45,""en"",""vi""),'Main Flow Steps'!F45))"),"Báo cáo tình trạng không khả dụng đối với một nhiệm vụ bắt buộc định kỳ.")</f>
        <v>Báo cáo tình trạng không khả dụng đối với một nhiệm vụ bắt buộc định kỳ.</v>
      </c>
      <c r="G48" s="40" t="str">
        <f>IFERROR(__xludf.DUMMYFUNCTION("IF('Main Flow Steps'!G45="""","""",IFERROR(GOOGLETRANSLATE('Main Flow Steps'!G45,""en"",""vi""),'Main Flow Steps'!G45))"),"Hệ thống yêu cầu phải có lý do và sẽ thông báo cho Quản lý Gia đình hoặc Người phó.")</f>
        <v>Hệ thống yêu cầu phải có lý do và sẽ thông báo cho Quản lý Gia đình hoặc Người phó.</v>
      </c>
      <c r="H48" s="40" t="str">
        <f>IF('Main Flow Steps'!H45="","",'Main Flow Steps'!H45)</f>
        <v>UC41</v>
      </c>
      <c r="I48" s="40" t="str">
        <f>IF('Main Flow Steps'!I45="","",'Main Flow Steps'!I45)</f>
        <v>BR-TASK-02</v>
      </c>
      <c r="J48" s="40" t="str">
        <f>IFERROR(__xludf.DUMMYFUNCTION("IF('Main Flow Steps'!J45="""","""",IFERROR(GOOGLETRANSLATE('Main Flow Steps'!J45,""en"",""vi""),'Main Flow Steps'!J45))"),"Thông báo về tình trạng không khả dụng đã được ghi nhận.")</f>
        <v>Thông báo về tình trạng không khả dụng đã được ghi nhận.</v>
      </c>
      <c r="K48" s="40" t="str">
        <f>IFERROR(__xludf.DUMMYFUNCTION("IF('Main Flow Steps'!K45="""","""",IFERROR(GOOGLETRANSLATE('Main Flow Steps'!K45,""en"",""vi""),'Main Flow Steps'!K45))"),"Đây là một nhánh thay thế, không bắt buộc đối với mọi tác vụ.")</f>
        <v>Đây là một nhánh thay thế, không bắt buộc đối với mọi tác vụ.</v>
      </c>
    </row>
    <row r="49" ht="22.5" customHeight="1">
      <c r="A49" s="40" t="str">
        <f>IF('Main Flow Steps'!A47="","",'Main Flow Steps'!A47)</f>
        <v>F4</v>
      </c>
      <c r="B49" s="40" t="str">
        <f>IFERROR(__xludf.DUMMYFUNCTION("IF('Main Flow Steps'!B47="""","""",IFERROR(GOOGLETRANSLATE('Main Flow Steps'!B47,""en"",""vi""),'Main Flow Steps'!B47))"),"Điều phối công việc nhà và quản lý việc phân chia phần thưởng")</f>
        <v>Điều phối công việc nhà và quản lý việc phân chia phần thưởng</v>
      </c>
      <c r="C49" s="44">
        <f>IF('Main Flow Steps'!C47="","",'Main Flow Steps'!C47)</f>
        <v>6</v>
      </c>
      <c r="D49" s="40" t="str">
        <f>IF('Main Flow Steps'!D47="","",SWITCH('Main Flow Steps'!D47,"Start","Bắt đầu","End","Kết thúc","User Action","Hành động người dùng","System Action","Hành động hệ thống","Optional User Action","Hành động tùy chọn của người dùng","Optional System Action","Hành động tùy chọn của hệ thống",'Main Flow Steps'!D47))</f>
        <v>Hành động người dùng</v>
      </c>
      <c r="E49" s="40" t="str">
        <f>IFERROR(__xludf.DUMMYFUNCTION("IF('Main Flow Steps'!E47="""","""",IFERROR(GOOGLETRANSLATE('Main Flow Steps'!E47,""en"",""vi""),'Main Flow Steps'!E47))"),"Thành viên gia đình")</f>
        <v>Thành viên gia đình</v>
      </c>
      <c r="F49" s="40" t="str">
        <f>IFERROR(__xludf.DUMMYFUNCTION("IF('Main Flow Steps'!F47="""","""",IFERROR(GOOGLETRANSLATE('Main Flow Steps'!F47,""en"",""vi""),'Main Flow Steps'!F47))"),"Nộp báo cáo hoàn thành nhiệm vụ kèm theo bằng chứng.")</f>
        <v>Nộp báo cáo hoàn thành nhiệm vụ kèm theo bằng chứng.</v>
      </c>
      <c r="G49" s="40" t="str">
        <f>IFERROR(__xludf.DUMMYFUNCTION("IF('Main Flow Steps'!G47="""","""",IFERROR(GOOGLETRANSLATE('Main Flow Steps'!G47,""en"",""vi""),'Main Flow Steps'!G47))"),"Hệ thống kiểm tra xem người gửi có phải là thành viên được chỉ định hay không và lưu trữ bằng chứng nếu có.")</f>
        <v>Hệ thống kiểm tra xem người gửi có phải là thành viên được chỉ định hay không và lưu trữ bằng chứng nếu có.</v>
      </c>
      <c r="H49" s="40" t="str">
        <f>IF('Main Flow Steps'!H47="","",'Main Flow Steps'!H47)</f>
        <v>UC43</v>
      </c>
      <c r="I49" s="40" t="str">
        <f>IF('Main Flow Steps'!I47="","",'Main Flow Steps'!I47)</f>
        <v>BR-TASK-03</v>
      </c>
      <c r="J49" s="40" t="str">
        <f>IFERROR(__xludf.DUMMYFUNCTION("IF('Main Flow Steps'!J47="""","""",IFERROR(GOOGLETRANSLATE('Main Flow Steps'!J47,""en"",""vi""),'Main Flow Steps'!J47))"),"Bài nộp hoàn chỉnh đang chờ được xem xét.")</f>
        <v>Bài nộp hoàn chỉnh đang chờ được xem xét.</v>
      </c>
      <c r="K49" s="40" t="str">
        <f>IFERROR(__xludf.DUMMYFUNCTION("IF('Main Flow Steps'!K47="""","""",IFERROR(GOOGLETRANSLATE('Main Flow Steps'!K47,""en"",""vi""),'Main Flow Steps'!K47))"),"Bằng chứng có thể bao gồm ghi chú, hình ảnh hoặc video nếu được hỗ trợ.")</f>
        <v>Bằng chứng có thể bao gồm ghi chú, hình ảnh hoặc video nếu được hỗ trợ.</v>
      </c>
    </row>
    <row r="50" ht="22.5" customHeight="1">
      <c r="A50" s="40" t="str">
        <f>IF('Main Flow Steps'!A55="","",'Main Flow Steps'!A55)</f>
        <v>F5</v>
      </c>
      <c r="B50" s="40" t="str">
        <f>IFERROR(__xludf.DUMMYFUNCTION("IF('Main Flow Steps'!B55="""","""",IFERROR(GOOGLETRANSLATE('Main Flow Steps'!B55,""en"",""vi""),'Main Flow Steps'!B55))"),"Cảnh báo SOS, An toàn đeo được và Quản lý phản ứng an toàn")</f>
        <v>Cảnh báo SOS, An toàn đeo được và Quản lý phản ứng an toàn</v>
      </c>
      <c r="C50" s="44">
        <f>IF('Main Flow Steps'!C55="","",'Main Flow Steps'!C55)</f>
        <v>1</v>
      </c>
      <c r="D50" s="40" t="str">
        <f>IF('Main Flow Steps'!D55="","",SWITCH('Main Flow Steps'!D55,"Start","Bắt đầu","End","Kết thúc","User Action","Hành động người dùng","System Action","Hành động hệ thống","Optional User Action","Hành động tùy chọn của người dùng","Optional System Action","Hành động tùy chọn của hệ thống",'Main Flow Steps'!D55))</f>
        <v>Bắt đầu</v>
      </c>
      <c r="E50" s="40" t="str">
        <f>IFERROR(__xludf.DUMMYFUNCTION("IF('Main Flow Steps'!E55="""","""",IFERROR(GOOGLETRANSLATE('Main Flow Steps'!E55,""en"",""vi""),'Main Flow Steps'!E55))"),"Thành viên gia đình")</f>
        <v>Thành viên gia đình</v>
      </c>
      <c r="F50" s="40" t="str">
        <f>IFERROR(__xludf.DUMMYFUNCTION("IF('Main Flow Steps'!F55="""","""",IFERROR(GOOGLETRANSLATE('Main Flow Steps'!F55,""en"",""vi""),'Main Flow Steps'!F55))"),"Kích hoạt chế độ SOS từ ứng dụng trên điện thoại di động hoặc thiết bị đeo/thiết bị an toàn đã được ghép nối.")</f>
        <v>Kích hoạt chế độ SOS từ ứng dụng trên điện thoại di động hoặc thiết bị đeo/thiết bị an toàn đã được ghép nối.</v>
      </c>
      <c r="G50" s="40" t="str">
        <f>IFERROR(__xludf.DUMMYFUNCTION("IF('Main Flow Steps'!G55="""","""",IFERROR(GOOGLETRANSLATE('Main Flow Steps'!G55,""en"",""vi""),'Main Flow Steps'!G55))"),"Hệ thống sẽ xác thực không gian làm việc của người dùng, quyền SOS và việc ghép nối thiết bị nếu tín hiệu kích hoạt đến từ thiết bị đeo được.")</f>
        <v>Hệ thống sẽ xác thực không gian làm việc của người dùng, quyền SOS và việc ghép nối thiết bị nếu tín hiệu kích hoạt đến từ thiết bị đeo được.</v>
      </c>
      <c r="H50" s="40" t="str">
        <f>IF('Main Flow Steps'!H55="","",'Main Flow Steps'!H55)</f>
        <v>UC50, UC56, UC57</v>
      </c>
      <c r="I50" s="40" t="str">
        <f>IF('Main Flow Steps'!I55="","",'Main Flow Steps'!I55)</f>
        <v>BR-SOS-01, BR-SOS-05, BR-SOS-06</v>
      </c>
      <c r="J50" s="40" t="str">
        <f>IFERROR(__xludf.DUMMYFUNCTION("IF('Main Flow Steps'!J55="""","""",IFERROR(GOOGLETRANSLATE('Main Flow Steps'!J55,""en"",""vi""),'Main Flow Steps'!J55))"),"Yêu cầu kích hoạt SOS đã được tạo.")</f>
        <v>Yêu cầu kích hoạt SOS đã được tạo.</v>
      </c>
      <c r="K50" s="40" t="str">
        <f>IFERROR(__xludf.DUMMYFUNCTION("IF('Main Flow Steps'!K55="""","""",IFERROR(GOOGLETRANSLATE('Main Flow Steps'!K55,""en"",""vi""),'Main Flow Steps'!K55))"),"Có thể mô phỏng thiết bị đeo được để trình diễn nếu việc tích hợp thiết bị thực không ổn định.")</f>
        <v>Có thể mô phỏng thiết bị đeo được để trình diễn nếu việc tích hợp thiết bị thực không ổn định.</v>
      </c>
    </row>
    <row r="51" ht="22.5" customHeight="1">
      <c r="A51" s="40" t="str">
        <f>IF('Main Flow Steps'!A61="","",'Main Flow Steps'!A61)</f>
        <v>F5</v>
      </c>
      <c r="B51" s="40" t="str">
        <f>IFERROR(__xludf.DUMMYFUNCTION("IF('Main Flow Steps'!B61="""","""",IFERROR(GOOGLETRANSLATE('Main Flow Steps'!B61,""en"",""vi""),'Main Flow Steps'!B61))"),"Cảnh báo SOS, An toàn đeo được và Quản lý phản ứng an toàn")</f>
        <v>Cảnh báo SOS, An toàn đeo được và Quản lý phản ứng an toàn</v>
      </c>
      <c r="C51" s="44">
        <f>IF('Main Flow Steps'!C61="","",'Main Flow Steps'!C61)</f>
        <v>7</v>
      </c>
      <c r="D51" s="40" t="str">
        <f>IF('Main Flow Steps'!D61="","",SWITCH('Main Flow Steps'!D61,"Start","Bắt đầu","End","Kết thúc","User Action","Hành động người dùng","System Action","Hành động hệ thống","Optional User Action","Hành động tùy chọn của người dùng","Optional System Action","Hành động tùy chọn của hệ thống",'Main Flow Steps'!D61))</f>
        <v>Hành động người dùng</v>
      </c>
      <c r="E51" s="40" t="str">
        <f>IFERROR(__xludf.DUMMYFUNCTION("IF('Main Flow Steps'!E61="""","""",IFERROR(GOOGLETRANSLATE('Main Flow Steps'!E61,""en"",""vi""),'Main Flow Steps'!E61))"),"Thành viên gia đình")</f>
        <v>Thành viên gia đình</v>
      </c>
      <c r="F51" s="40" t="str">
        <f>IFERROR(__xludf.DUMMYFUNCTION("IF('Main Flow Steps'!F61="""","""",IFERROR(GOOGLETRANSLATE('Main Flow Steps'!F61,""en"",""vi""),'Main Flow Steps'!F61))"),"Xác nhận an toàn khi đã an toàn hoặc khi tình huống đã được xử lý.")</f>
        <v>Xác nhận an toàn khi đã an toàn hoặc khi tình huống đã được xử lý.</v>
      </c>
      <c r="G51" s="40" t="str">
        <f>IFERROR(__xludf.DUMMYFUNCTION("IF('Main Flow Steps'!G61="""","""",IFERROR(GOOGLETRANSLATE('Main Flow Steps'!G61,""en"",""vi""),'Main Flow Steps'!G61))"),"Hệ thống ghi lại thông tin xác nhận, người phản hồi và dấu thời gian.")</f>
        <v>Hệ thống ghi lại thông tin xác nhận, người phản hồi và dấu thời gian.</v>
      </c>
      <c r="H51" s="40" t="str">
        <f>IF('Main Flow Steps'!H61="","",'Main Flow Steps'!H61)</f>
        <v>UC52</v>
      </c>
      <c r="I51" s="40" t="str">
        <f>IF('Main Flow Steps'!I61="","",'Main Flow Steps'!I61)</f>
        <v>BR-SOS-03</v>
      </c>
      <c r="J51" s="40" t="str">
        <f>IFERROR(__xludf.DUMMYFUNCTION("IF('Main Flow Steps'!J61="""","""",IFERROR(GOOGLETRANSLATE('Main Flow Steps'!J61,""en"",""vi""),'Main Flow Steps'!J61))"),"Xác nhận an toàn đã có sẵn.")</f>
        <v>Xác nhận an toàn đã có sẵn.</v>
      </c>
      <c r="K51" s="40" t="str">
        <f>IFERROR(__xludf.DUMMYFUNCTION("IF('Main Flow Steps'!K61="""","""",IFERROR(GOOGLETRANSLATE('Main Flow Steps'!K61,""en"",""vi""),'Main Flow Steps'!K61))"),"Việc xác nhận có thể đến từ người kích hoạt hoặc một thành viên gia đình phản hồi, tùy thuộc vào quy tắc.")</f>
        <v>Việc xác nhận có thể đến từ người kích hoạt hoặc một thành viên gia đình phản hồi, tùy thuộc vào quy tắc.</v>
      </c>
    </row>
    <row r="52" ht="22.5" customHeight="1">
      <c r="A52" s="40" t="str">
        <f>IF('Main Flow Steps'!A56="","",'Main Flow Steps'!A56)</f>
        <v>F5</v>
      </c>
      <c r="B52" s="40" t="str">
        <f>IFERROR(__xludf.DUMMYFUNCTION("IF('Main Flow Steps'!B56="""","""",IFERROR(GOOGLETRANSLATE('Main Flow Steps'!B56,""en"",""vi""),'Main Flow Steps'!B56))"),"Cảnh báo SOS, An toàn đeo được và Quản lý phản ứng an toàn")</f>
        <v>Cảnh báo SOS, An toàn đeo được và Quản lý phản ứng an toàn</v>
      </c>
      <c r="C52" s="44">
        <f>IF('Main Flow Steps'!C56="","",'Main Flow Steps'!C56)</f>
        <v>2</v>
      </c>
      <c r="D52" s="40" t="str">
        <f>IF('Main Flow Steps'!D56="","",SWITCH('Main Flow Steps'!D56,"Start","Bắt đầu","End","Kết thúc","User Action","Hành động người dùng","System Action","Hành động hệ thống","Optional User Action","Hành động tùy chọn của người dùng","Optional System Action","Hành động tùy chọn của hệ thống",'Main Flow Steps'!D56))</f>
        <v>Alternative System Trigger</v>
      </c>
      <c r="E52" s="40" t="str">
        <f>IFERROR(__xludf.DUMMYFUNCTION("IF('Main Flow Steps'!E56="""","""",IFERROR(GOOGLETRANSLATE('Main Flow Steps'!E56,""en"",""vi""),'Main Flow Steps'!E56))"),"Thiết bị đeo/Hệ thống")</f>
        <v>Thiết bị đeo/Hệ thống</v>
      </c>
      <c r="F52" s="40" t="str">
        <f>IFERROR(__xludf.DUMMYFUNCTION("IF('Main Flow Steps'!F56="""","""",IFERROR(GOOGLETRANSLATE('Main Flow Steps'!F56,""en"",""vi""),'Main Flow Steps'!F56))"),"Phát hiện tác động giống như rơi hoặc chuyển động bất thường từ dữ liệu cảm biến đeo được/mô phỏng.")</f>
        <v>Phát hiện tác động giống như rơi hoặc chuyển động bất thường từ dữ liệu cảm biến đeo được/mô phỏng.</v>
      </c>
      <c r="G52" s="40" t="str">
        <f>IFERROR(__xludf.DUMMYFUNCTION("IF('Main Flow Steps'!G56="""","""",IFERROR(GOOGLETRANSLATE('Main Flow Steps'!G56,""en"",""vi""),'Main Flow Steps'!G56))"),"Hệ thống sẽ tạo ra cảnh báo an toàn hoặc tín hiệu SOS tùy thuộc vào cài đặt SOS đã được cấu hình.")</f>
        <v>Hệ thống sẽ tạo ra cảnh báo an toàn hoặc tín hiệu SOS tùy thuộc vào cài đặt SOS đã được cấu hình.</v>
      </c>
      <c r="H52" s="40" t="str">
        <f>IF('Main Flow Steps'!H56="","",'Main Flow Steps'!H56)</f>
        <v>UC58</v>
      </c>
      <c r="I52" s="40" t="str">
        <f>IF('Main Flow Steps'!I56="","",'Main Flow Steps'!I56)</f>
        <v>BR-SOS-05, BR-SOS-06</v>
      </c>
      <c r="J52" s="40" t="str">
        <f>IFERROR(__xludf.DUMMYFUNCTION("IF('Main Flow Steps'!J56="""","""",IFERROR(GOOGLETRANSLATE('Main Flow Steps'!J56,""en"",""vi""),'Main Flow Steps'!J56))"),"Cảnh báo té ngã/chuyển động bất thường được tạo ra.")</f>
        <v>Cảnh báo té ngã/chuyển động bất thường được tạo ra.</v>
      </c>
      <c r="K52" s="40" t="str">
        <f>IFERROR(__xludf.DUMMYFUNCTION("IF('Main Flow Steps'!K56="""","""",IFERROR(GOOGLETRANSLATE('Main Flow Steps'!K56,""en"",""vi""),'Main Flow Steps'!K56))"),"Điều này có thể được mô phỏng bằng dữ liệu cảm biến thử nghiệm hoặc kích hoạt thủ công từ thiết bị phát triển.")</f>
        <v>Điều này có thể được mô phỏng bằng dữ liệu cảm biến thử nghiệm hoặc kích hoạt thủ công từ thiết bị phát triển.</v>
      </c>
    </row>
    <row r="53" ht="22.5" customHeight="1">
      <c r="A53" s="40" t="str">
        <f>IF('Main Flow Steps'!A40="","",'Main Flow Steps'!A40)</f>
        <v>F3</v>
      </c>
      <c r="B53" s="40" t="str">
        <f>IFERROR(__xludf.DUMMYFUNCTION("IF('Main Flow Steps'!B40="""","""",IFERROR(GOOGLETRANSLATE('Main Flow Steps'!B40,""en"",""vi""),'Main Flow Steps'!B40))"),"Lập kế hoạch tài chính gia đình và quản lý sổ quỹ")</f>
        <v>Lập kế hoạch tài chính gia đình và quản lý sổ quỹ</v>
      </c>
      <c r="C53" s="44">
        <f>IF('Main Flow Steps'!C40="","",'Main Flow Steps'!C40)</f>
        <v>10</v>
      </c>
      <c r="D53" s="40" t="str">
        <f>IF('Main Flow Steps'!D40="","",SWITCH('Main Flow Steps'!D40,"Start","Bắt đầu","End","Kết thúc","User Action","Hành động người dùng","System Action","Hành động hệ thống","Optional User Action","Hành động tùy chọn của người dùng","Optional System Action","Hành động tùy chọn của hệ thống",'Main Flow Steps'!D40))</f>
        <v>Optional Supporting Action</v>
      </c>
      <c r="E53" s="40" t="str">
        <f>IFERROR(__xludf.DUMMYFUNCTION("IF('Main Flow Steps'!E40="""","""",IFERROR(GOOGLETRANSLATE('Main Flow Steps'!E40,""en"",""vi""),'Main Flow Steps'!E40))"),"Trợ lý AI")</f>
        <v>Trợ lý AI</v>
      </c>
      <c r="F53" s="40" t="str">
        <f>IFERROR(__xludf.DUMMYFUNCTION("IF('Main Flow Steps'!F40="""","""",IFERROR(GOOGLETRANSLATE('Main Flow Steps'!F40,""en"",""vi""),'Main Flow Steps'!F40))"),"Cung cấp bản tóm tắt tài chính hoặc đề xuất ngân sách/tiết kiệm dựa trên dữ liệu tài chính được cho phép.")</f>
        <v>Cung cấp bản tóm tắt tài chính hoặc đề xuất ngân sách/tiết kiệm dựa trên dữ liệu tài chính được cho phép.</v>
      </c>
      <c r="G53" s="40" t="str">
        <f>IFERROR(__xludf.DUMMYFUNCTION("IF('Main Flow Steps'!G40="""","""",IFERROR(GOOGLETRANSLATE('Main Flow Steps'!G40,""en"",""vi""),'Main Flow Steps'!G40))"),"Trí tuệ nhân tạo (AI) kiểm tra quyền truy cập và đưa ra những lời khuyên hữu ích mà không làm thay đổi dữ liệu.")</f>
        <v>Trí tuệ nhân tạo (AI) kiểm tra quyền truy cập và đưa ra những lời khuyên hữu ích mà không làm thay đổi dữ liệu.</v>
      </c>
      <c r="H53" s="40" t="str">
        <f>IF('Main Flow Steps'!H40="","",'Main Flow Steps'!H40)</f>
        <v>UC66, UC68</v>
      </c>
      <c r="I53" s="40" t="str">
        <f>IF('Main Flow Steps'!I40="","",'Main Flow Steps'!I40)</f>
        <v>BR-AI-01, BR-AI-03, BR-AI-05</v>
      </c>
      <c r="J53" s="40" t="str">
        <f>IFERROR(__xludf.DUMMYFUNCTION("IF('Main Flow Steps'!J40="""","""",IFERROR(GOOGLETRANSLATE('Main Flow Steps'!J40,""en"",""vi""),'Main Flow Steps'!J40))"),"Thông tin chi tiết về tài chính được hiển thị nếu tính năng này được bật.")</f>
        <v>Thông tin chi tiết về tài chính được hiển thị nếu tính năng này được bật.</v>
      </c>
      <c r="K53" s="40" t="str">
        <f>IFERROR(__xludf.DUMMYFUNCTION("IF('Main Flow Steps'!K40="""","""",IFERROR(GOOGLETRANSLATE('Main Flow Steps'!K40,""en"",""vi""),'Main Flow Steps'!K40))"),"Trí tuệ nhân tạo chỉ mang tính hỗ trợ/tư vấn. Người dùng phải tự thực hiện các thao tác.")</f>
        <v>Trí tuệ nhân tạo chỉ mang tính hỗ trợ/tư vấn. Người dùng phải tự thực hiện các thao tác.</v>
      </c>
    </row>
    <row r="54">
      <c r="A54" s="42" t="str">
        <f>IF('Main Flow Steps'!A75="","",'Main Flow Steps'!A75)</f>
        <v>SF1</v>
      </c>
      <c r="B54" s="42" t="str">
        <f>IFERROR(__xludf.DUMMYFUNCTION("IF('Main Flow Steps'!B75="""","""",IFERROR(GOOGLETRANSLATE('Main Flow Steps'!B75,""en"",""vi""),'Main Flow Steps'!B75))"),"Giao tiếp gia đình, lịch và album")</f>
        <v>Giao tiếp gia đình, lịch và album</v>
      </c>
      <c r="C54" s="45">
        <f>IF('Main Flow Steps'!C75="","",'Main Flow Steps'!C75)</f>
        <v>6</v>
      </c>
      <c r="D54" s="42" t="str">
        <f>IF('Main Flow Steps'!D75="","",SWITCH('Main Flow Steps'!D75,"Start","Bắt đầu","End","Kết thúc","User Action","Hành động người dùng","System Action","Hành động hệ thống","Optional User Action","Hành động tùy chọn của người dùng","Optional System Action","Hành động tùy chọn của hệ thống",'Main Flow Steps'!D75))</f>
        <v>Future / Demo Action</v>
      </c>
      <c r="E54" s="42" t="str">
        <f>IFERROR(__xludf.DUMMYFUNCTION("IF('Main Flow Steps'!E75="""","""",IFERROR(GOOGLETRANSLATE('Main Flow Steps'!E75,""en"",""vi""),'Main Flow Steps'!E75))"),"Hệ thống / Trí tuệ nhân tạo")</f>
        <v>Hệ thống / Trí tuệ nhân tạo</v>
      </c>
      <c r="F54" s="42" t="str">
        <f>IFERROR(__xludf.DUMMYFUNCTION("IF('Main Flow Steps'!F75="""","""",IFERROR(GOOGLETRANSLATE('Main Flow Steps'!F75,""en"",""vi""),'Main Flow Steps'!F75))"),"Đề xuất nhóm album dựa trên khuôn mặt nếu được triển khai cho bản demo.")</f>
        <v>Đề xuất nhóm album dựa trên khuôn mặt nếu được triển khai cho bản demo.</v>
      </c>
      <c r="G54" s="42" t="str">
        <f>IFERROR(__xludf.DUMMYFUNCTION("IF('Main Flow Steps'!G75="""","""",IFERROR(GOOGLETRANSLATE('Main Flow Steps'!G75,""en"",""vi""),'Main Flow Steps'!G75))"),"Hệ thống chỉ đề xuất việc nhóm các đối tượng; người dùng cần xác nhận trước khi gắn thẻ hoặc sắp xếp.")</f>
        <v>Hệ thống chỉ đề xuất việc nhóm các đối tượng; người dùng cần xác nhận trước khi gắn thẻ hoặc sắp xếp.</v>
      </c>
      <c r="H54" s="42" t="str">
        <f>IF('Main Flow Steps'!H75="","",'Main Flow Steps'!H75)</f>
        <v>UC75</v>
      </c>
      <c r="I54" s="42" t="str">
        <f>IF('Main Flow Steps'!I75="","",'Main Flow Steps'!I75)</f>
        <v>BR-ALB-02, BR-AI-01</v>
      </c>
      <c r="J54" s="42" t="str">
        <f>IFERROR(__xludf.DUMMYFUNCTION("IF('Main Flow Steps'!J75="""","""",IFERROR(GOOGLETRANSLATE('Main Flow Steps'!J75,""en"",""vi""),'Main Flow Steps'!J75))"),"Gợi ý phân nhóm dựa trên khuôn mặt sẽ được hiển thị nếu có.")</f>
        <v>Gợi ý phân nhóm dựa trên khuôn mặt sẽ được hiển thị nếu có.</v>
      </c>
      <c r="K54" s="42" t="str">
        <f>IFERROR(__xludf.DUMMYFUNCTION("IF('Main Flow Steps'!K75="""","""",IFERROR(GOOGLETRANSLATE('Main Flow Steps'!K75,""en"",""vi""),'Main Flow Steps'!K75))"),"Tính năng phân nhóm khuôn mặt là tính năng sẽ được cải tiến trong tương lai hoặc chỉ có trong bản demo.")</f>
        <v>Tính năng phân nhóm khuôn mặt là tính năng sẽ được cải tiến trong tương lai hoặc chỉ có trong bản demo.</v>
      </c>
    </row>
    <row r="55">
      <c r="A55" s="42" t="str">
        <f>IF('Main Flow Steps'!A76="","",'Main Flow Steps'!A76)</f>
        <v>SF1</v>
      </c>
      <c r="B55" s="42" t="str">
        <f>IFERROR(__xludf.DUMMYFUNCTION("IF('Main Flow Steps'!B76="""","""",IFERROR(GOOGLETRANSLATE('Main Flow Steps'!B76,""en"",""vi""),'Main Flow Steps'!B76))"),"Giao tiếp gia đình, lịch và album")</f>
        <v>Giao tiếp gia đình, lịch và album</v>
      </c>
      <c r="C55" s="45">
        <f>IF('Main Flow Steps'!C76="","",'Main Flow Steps'!C76)</f>
        <v>7</v>
      </c>
      <c r="D55" s="42" t="str">
        <f>IF('Main Flow Steps'!D76="","",SWITCH('Main Flow Steps'!D76,"Start","Bắt đầu","End","Kết thúc","User Action","Hành động người dùng","System Action","Hành động hệ thống","Optional User Action","Hành động tùy chọn của người dùng","Optional System Action","Hành động tùy chọn của hệ thống",'Main Flow Steps'!D76))</f>
        <v>Kết thúc</v>
      </c>
      <c r="E55" s="42" t="str">
        <f>IFERROR(__xludf.DUMMYFUNCTION("IF('Main Flow Steps'!E76="""","""",IFERROR(GOOGLETRANSLATE('Main Flow Steps'!E76,""en"",""vi""),'Main Flow Steps'!E76))"),"Hệ thống")</f>
        <v>Hệ thống</v>
      </c>
      <c r="F55" s="42" t="str">
        <f>IFERROR(__xludf.DUMMYFUNCTION("IF('Main Flow Steps'!F76="""","""",IFERROR(GOOGLETRANSLATE('Main Flow Steps'!F76,""en"",""vi""),'Main Flow Steps'!F76))"),"Giữ dữ liệu liên lạc/lịch/album trong không gian làm việc chung của gia đình.")</f>
        <v>Giữ dữ liệu liên lạc/lịch/album trong không gian làm việc chung của gia đình.</v>
      </c>
      <c r="G55" s="42" t="str">
        <f>IFERROR(__xludf.DUMMYFUNCTION("IF('Main Flow Steps'!G76="""","""",IFERROR(GOOGLETRANSLATE('Main Flow Steps'!G76,""en"",""vi""),'Main Flow Steps'!G76))"),"Hệ thống này ngăn chặn việc rò rỉ dữ liệu giữa các thành phần trong cùng một gia đình và hiển thị dữ liệu hỗ trợ đã được cập nhật.")</f>
        <v>Hệ thống này ngăn chặn việc rò rỉ dữ liệu giữa các thành phần trong cùng một gia đình và hiển thị dữ liệu hỗ trợ đã được cập nhật.</v>
      </c>
      <c r="H55" s="42" t="str">
        <f>IF('Main Flow Steps'!H76="","",'Main Flow Steps'!H76)</f>
        <v>UC60-UC64, UC70-UC75</v>
      </c>
      <c r="I55" s="42" t="str">
        <f>IF('Main Flow Steps'!I76="","",'Main Flow Steps'!I76)</f>
        <v>BR-COM-01, BR-COM-02, BR-ALB-02</v>
      </c>
      <c r="J55" s="42" t="str">
        <f>IFERROR(__xludf.DUMMYFUNCTION("IF('Main Flow Steps'!J76="""","""",IFERROR(GOOGLETRANSLATE('Main Flow Steps'!J76,""en"",""vi""),'Main Flow Steps'!J76))"),"Dữ liệu hỗ trợ việc phối hợp gia đình là nhất quán.")</f>
        <v>Dữ liệu hỗ trợ việc phối hợp gia đình là nhất quán.</v>
      </c>
      <c r="K55" s="42" t="str">
        <f>IFERROR(__xludf.DUMMYFUNCTION("IF('Main Flow Steps'!K76="""","""",IFERROR(GOOGLETRANSLATE('Main Flow Steps'!K76,""en"",""vi""),'Main Flow Steps'!K76))"),"Trạng thái cuối cùng: các tính năng hỗ trợ rõ ràng nhưng không bị quá phạm vi.")</f>
        <v>Trạng thái cuối cùng: các tính năng hỗ trợ rõ ràng nhưng không bị quá phạm vi.</v>
      </c>
    </row>
    <row r="56">
      <c r="A56" s="42" t="str">
        <f>IF('Main Flow Steps'!A77="","",'Main Flow Steps'!A77)</f>
        <v>SF2</v>
      </c>
      <c r="B56" s="42" t="str">
        <f>IFERROR(__xludf.DUMMYFUNCTION("IF('Main Flow Steps'!B77="""","""",IFERROR(GOOGLETRANSLATE('Main Flow Steps'!B77,""en"",""vi""),'Main Flow Steps'!B77))"),"Hiểu biết về gia đình được hỗ trợ bởi trí tuệ nhân tạo")</f>
        <v>Hiểu biết về gia đình được hỗ trợ bởi trí tuệ nhân tạo</v>
      </c>
      <c r="C56" s="45">
        <f>IF('Main Flow Steps'!C77="","",'Main Flow Steps'!C77)</f>
        <v>1</v>
      </c>
      <c r="D56" s="42" t="str">
        <f>IF('Main Flow Steps'!D77="","",SWITCH('Main Flow Steps'!D77,"Start","Bắt đầu","End","Kết thúc","User Action","Hành động người dùng","System Action","Hành động hệ thống","Optional User Action","Hành động tùy chọn của người dùng","Optional System Action","Hành động tùy chọn của hệ thống",'Main Flow Steps'!D77))</f>
        <v>Bắt đầu</v>
      </c>
      <c r="E56" s="42" t="str">
        <f>IFERROR(__xludf.DUMMYFUNCTION("IF('Main Flow Steps'!E77="""","""",IFERROR(GOOGLETRANSLATE('Main Flow Steps'!E77,""en"",""vi""),'Main Flow Steps'!E77))"),"Thành viên gia đình / Người quản lý gia đình")</f>
        <v>Thành viên gia đình / Người quản lý gia đình</v>
      </c>
      <c r="F56" s="42" t="str">
        <f>IFERROR(__xludf.DUMMYFUNCTION("IF('Main Flow Steps'!F77="""","""",IFERROR(GOOGLETRANSLATE('Main Flow Steps'!F77,""en"",""vi""),'Main Flow Steps'!F77))"),"Mở Trợ lý AI và hỏi về tài chính, công việc, nhắc nhở, ngân sách hoặc gợi ý tiết kiệm.")</f>
        <v>Mở Trợ lý AI và hỏi về tài chính, công việc, nhắc nhở, ngân sách hoặc gợi ý tiết kiệm.</v>
      </c>
      <c r="G56" s="42" t="str">
        <f>IFERROR(__xludf.DUMMYFUNCTION("IF('Main Flow Steps'!G77="""","""",IFERROR(GOOGLETRANSLATE('Main Flow Steps'!G77,""en"",""vi""),'Main Flow Steps'!G77))"),"Hệ thống kiểm tra trạng thái đăng nhập, ngữ cảnh không gian làm việc, quyền truy cập tính năng đăng ký và tính khả dụng của AI.")</f>
        <v>Hệ thống kiểm tra trạng thái đăng nhập, ngữ cảnh không gian làm việc, quyền truy cập tính năng đăng ký và tính khả dụng của AI.</v>
      </c>
      <c r="H56" s="42" t="str">
        <f>IF('Main Flow Steps'!H77="","",'Main Flow Steps'!H77)</f>
        <v>UC65, UC76</v>
      </c>
      <c r="I56" s="42" t="str">
        <f>IF('Main Flow Steps'!I77="","",'Main Flow Steps'!I77)</f>
        <v>BR-AI-01, BR-SUB-07</v>
      </c>
      <c r="J56" s="42" t="str">
        <f>IFERROR(__xludf.DUMMYFUNCTION("IF('Main Flow Steps'!J77="""","""",IFERROR(GOOGLETRANSLATE('Main Flow Steps'!J77,""en"",""vi""),'Main Flow Steps'!J77))"),"Yêu cầu AI được chấp nhận hoặc từ chối dựa trên quyền truy cập.")</f>
        <v>Yêu cầu AI được chấp nhận hoặc từ chối dựa trên quyền truy cập.</v>
      </c>
      <c r="K56" s="42" t="str">
        <f>IFERROR(__xludf.DUMMYFUNCTION("IF('Main Flow Steps'!K77="""","""",IFERROR(GOOGLETRANSLATE('Main Flow Steps'!K77,""en"",""vi""),'Main Flow Steps'!K77))"),"AI hỗ trợ quy trình, chứ không phải thay thế các quyết định cốt lõi về tài chính/nhiệm vụ/cứu hộ.")</f>
        <v>AI hỗ trợ quy trình, chứ không phải thay thế các quyết định cốt lõi về tài chính/nhiệm vụ/cứu hộ.</v>
      </c>
    </row>
    <row r="57">
      <c r="A57" s="42" t="str">
        <f>IF('Main Flow Steps'!A78="","",'Main Flow Steps'!A78)</f>
        <v>SF2</v>
      </c>
      <c r="B57" s="42" t="str">
        <f>IFERROR(__xludf.DUMMYFUNCTION("IF('Main Flow Steps'!B78="""","""",IFERROR(GOOGLETRANSLATE('Main Flow Steps'!B78,""en"",""vi""),'Main Flow Steps'!B78))"),"Hiểu biết về gia đình được hỗ trợ bởi trí tuệ nhân tạo")</f>
        <v>Hiểu biết về gia đình được hỗ trợ bởi trí tuệ nhân tạo</v>
      </c>
      <c r="C57" s="45">
        <f>IF('Main Flow Steps'!C78="","",'Main Flow Steps'!C78)</f>
        <v>2</v>
      </c>
      <c r="D57" s="42" t="str">
        <f>IF('Main Flow Steps'!D78="","",SWITCH('Main Flow Steps'!D78,"Start","Bắt đầu","End","Kết thúc","User Action","Hành động người dùng","System Action","Hành động hệ thống","Optional User Action","Hành động tùy chọn của người dùng","Optional System Action","Hành động tùy chọn của hệ thống",'Main Flow Steps'!D78))</f>
        <v>Hành động hệ thống</v>
      </c>
      <c r="E57" s="42" t="str">
        <f>IFERROR(__xludf.DUMMYFUNCTION("IF('Main Flow Steps'!E78="""","""",IFERROR(GOOGLETRANSLATE('Main Flow Steps'!E78,""en"",""vi""),'Main Flow Steps'!E78))"),"Hệ thống")</f>
        <v>Hệ thống</v>
      </c>
      <c r="F57" s="42" t="str">
        <f>IFERROR(__xludf.DUMMYFUNCTION("IF('Main Flow Steps'!F78="""","""",IFERROR(GOOGLETRANSLATE('Main Flow Steps'!F78,""en"",""vi""),'Main Flow Steps'!F78))"),"Xác định mục đích: tóm tắt tài chính, tóm tắt công việc, nhắc nhở, cảnh báo ngân sách, đề xuất tiết kiệm hoặc hoạt động gia đình chung.")</f>
        <v>Xác định mục đích: tóm tắt tài chính, tóm tắt công việc, nhắc nhở, cảnh báo ngân sách, đề xuất tiết kiệm hoặc hoạt động gia đình chung.</v>
      </c>
      <c r="G57" s="42" t="str">
        <f>IFERROR(__xludf.DUMMYFUNCTION("IF('Main Flow Steps'!G78="""","""",IFERROR(GOOGLETRANSLATE('Main Flow Steps'!G78,""en"",""vi""),'Main Flow Steps'!G78))"),"Hệ thống lựa chọn nguồn dữ liệu được cho phép dựa trên ý định được phát hiện.")</f>
        <v>Hệ thống lựa chọn nguồn dữ liệu được cho phép dựa trên ý định được phát hiện.</v>
      </c>
      <c r="H57" s="42" t="str">
        <f>IF('Main Flow Steps'!H78="","",'Main Flow Steps'!H78)</f>
        <v>UC65</v>
      </c>
      <c r="I57" s="42" t="str">
        <f>IF('Main Flow Steps'!I78="","",'Main Flow Steps'!I78)</f>
        <v>BR-AI-01, BR-AI-02</v>
      </c>
      <c r="J57" s="42" t="str">
        <f>IFERROR(__xludf.DUMMYFUNCTION("IF('Main Flow Steps'!J78="""","""",IFERROR(GOOGLETRANSLATE('Main Flow Steps'!J78,""en"",""vi""),'Main Flow Steps'!J78))"),"Yêu cầu AI được phân loại.")</f>
        <v>Yêu cầu AI được phân loại.</v>
      </c>
      <c r="K57" s="42" t="str">
        <f>IFERROR(__xludf.DUMMYFUNCTION("IF('Main Flow Steps'!K78="""","""",IFERROR(GOOGLETRANSLATE('Main Flow Steps'!K78,""en"",""vi""),'Main Flow Steps'!K78))"),"Trong mô hình MVP, việc phát hiện ý định có thể được thực hiện bằng các quy tắc đơn giản.")</f>
        <v>Trong mô hình MVP, việc phát hiện ý định có thể được thực hiện bằng các quy tắc đơn giản.</v>
      </c>
    </row>
    <row r="58">
      <c r="A58" s="42" t="str">
        <f>IF('Main Flow Steps'!A79="","",'Main Flow Steps'!A79)</f>
        <v>SF2</v>
      </c>
      <c r="B58" s="42" t="str">
        <f>IFERROR(__xludf.DUMMYFUNCTION("IF('Main Flow Steps'!B79="""","""",IFERROR(GOOGLETRANSLATE('Main Flow Steps'!B79,""en"",""vi""),'Main Flow Steps'!B79))"),"Hiểu biết về gia đình được hỗ trợ bởi trí tuệ nhân tạo")</f>
        <v>Hiểu biết về gia đình được hỗ trợ bởi trí tuệ nhân tạo</v>
      </c>
      <c r="C58" s="45">
        <f>IF('Main Flow Steps'!C79="","",'Main Flow Steps'!C79)</f>
        <v>3</v>
      </c>
      <c r="D58" s="42" t="str">
        <f>IF('Main Flow Steps'!D79="","",SWITCH('Main Flow Steps'!D79,"Start","Bắt đầu","End","Kết thúc","User Action","Hành động người dùng","System Action","Hành động hệ thống","Optional User Action","Hành động tùy chọn của người dùng","Optional System Action","Hành động tùy chọn của hệ thống",'Main Flow Steps'!D79))</f>
        <v>Hành động hệ thống</v>
      </c>
      <c r="E58" s="42" t="str">
        <f>IFERROR(__xludf.DUMMYFUNCTION("IF('Main Flow Steps'!E79="""","""",IFERROR(GOOGLETRANSLATE('Main Flow Steps'!E79,""en"",""vi""),'Main Flow Steps'!E79))"),"Hệ thống")</f>
        <v>Hệ thống</v>
      </c>
      <c r="F58" s="42" t="str">
        <f>IFERROR(__xludf.DUMMYFUNCTION("IF('Main Flow Steps'!F79="""","""",IFERROR(GOOGLETRANSLATE('Main Flow Steps'!F79,""en"",""vi""),'Main Flow Steps'!F79))"),"Trước khi truy xuất dữ liệu, hãy kiểm tra vai trò, quyền được ủy quyền, quy tắc bảo mật và quyền truy cập tính năng của gói dịch vụ.")</f>
        <v>Trước khi truy xuất dữ liệu, hãy kiểm tra vai trò, quyền được ủy quyền, quy tắc bảo mật và quyền truy cập tính năng của gói dịch vụ.</v>
      </c>
      <c r="G58" s="42" t="str">
        <f>IFERROR(__xludf.DUMMYFUNCTION("IF('Main Flow Steps'!G79="""","""",IFERROR(GOOGLETRANSLATE('Main Flow Steps'!G79,""en"",""vi""),'Main Flow Steps'!G79))"),"Hệ thống chặn các dữ liệu tài chính/nhiệm vụ nhạy cảm không được phép truy cập và chỉ truy xuất các dữ liệu được cho phép.")</f>
        <v>Hệ thống chặn các dữ liệu tài chính/nhiệm vụ nhạy cảm không được phép truy cập và chỉ truy xuất các dữ liệu được cho phép.</v>
      </c>
      <c r="H58" s="42" t="str">
        <f>IF('Main Flow Steps'!H79="","",'Main Flow Steps'!H79)</f>
        <v>UC66, UC67, UC68</v>
      </c>
      <c r="I58" s="42" t="str">
        <f>IF('Main Flow Steps'!I79="","",'Main Flow Steps'!I79)</f>
        <v>BR-AI-01, BR-AI-03, BR-AUTH-02, BR-SUB-07</v>
      </c>
      <c r="J58" s="42" t="str">
        <f>IFERROR(__xludf.DUMMYFUNCTION("IF('Main Flow Steps'!J79="""","""",IFERROR(GOOGLETRANSLATE('Main Flow Steps'!J79,""en"",""vi""),'Main Flow Steps'!J79))"),"Dữ liệu được cho phép đã được chuẩn bị cho trí tuệ nhân tạo (AI).")</f>
        <v>Dữ liệu được cho phép đã được chuẩn bị cho trí tuệ nhân tạo (AI).</v>
      </c>
      <c r="K58" s="42" t="str">
        <f>IFERROR(__xludf.DUMMYFUNCTION("IF('Main Flow Steps'!K79="""","""",IFERROR(GOOGLETRANSLATE('Main Flow Steps'!K79,""en"",""vi""),'Main Flow Steps'!K79))"),"Đây là quy tắc cấp phép quan trọng nhất đối với trí tuệ nhân tạo.")</f>
        <v>Đây là quy tắc cấp phép quan trọng nhất đối với trí tuệ nhân tạo.</v>
      </c>
    </row>
    <row r="59">
      <c r="A59" s="42" t="str">
        <f>IF('Main Flow Steps'!A80="","",'Main Flow Steps'!A80)</f>
        <v>SF2</v>
      </c>
      <c r="B59" s="42" t="str">
        <f>IFERROR(__xludf.DUMMYFUNCTION("IF('Main Flow Steps'!B80="""","""",IFERROR(GOOGLETRANSLATE('Main Flow Steps'!B80,""en"",""vi""),'Main Flow Steps'!B80))"),"Hiểu biết về gia đình được hỗ trợ bởi trí tuệ nhân tạo")</f>
        <v>Hiểu biết về gia đình được hỗ trợ bởi trí tuệ nhân tạo</v>
      </c>
      <c r="C59" s="45">
        <f>IF('Main Flow Steps'!C80="","",'Main Flow Steps'!C80)</f>
        <v>4</v>
      </c>
      <c r="D59" s="42" t="str">
        <f>IF('Main Flow Steps'!D80="","",SWITCH('Main Flow Steps'!D80,"Start","Bắt đầu","End","Kết thúc","User Action","Hành động người dùng","System Action","Hành động hệ thống","Optional User Action","Hành động tùy chọn của người dùng","Optional System Action","Hành động tùy chọn của hệ thống",'Main Flow Steps'!D80))</f>
        <v>Hành động hệ thống</v>
      </c>
      <c r="E59" s="42" t="str">
        <f>IFERROR(__xludf.DUMMYFUNCTION("IF('Main Flow Steps'!E80="""","""",IFERROR(GOOGLETRANSLATE('Main Flow Steps'!E80,""en"",""vi""),'Main Flow Steps'!E80))"),"Trợ lý AI")</f>
        <v>Trợ lý AI</v>
      </c>
      <c r="F59" s="42" t="str">
        <f>IFERROR(__xludf.DUMMYFUNCTION("IF('Main Flow Steps'!F80="""","""",IFERROR(GOOGLETRANSLATE('Main Flow Steps'!F80,""en"",""vi""),'Main Flow Steps'!F80))"),"Tạo báo cáo tài chính, tóm tắt công việc, nhắc nhở, đề xuất ngân sách/tiết kiệm hoặc thông tin cơ bản từ dữ liệu được cho phép.")</f>
        <v>Tạo báo cáo tài chính, tóm tắt công việc, nhắc nhở, đề xuất ngân sách/tiết kiệm hoặc thông tin cơ bản từ dữ liệu được cho phép.</v>
      </c>
      <c r="G59" s="42" t="str">
        <f>IFERROR(__xludf.DUMMYFUNCTION("IF('Main Flow Steps'!G80="""","""",IFERROR(GOOGLETRANSLATE('Main Flow Steps'!G80,""en"",""vi""),'Main Flow Steps'!G80))"),"Trí tuệ nhân tạo (AI) đưa ra câu trả lời mang tính thông tin mà không làm thay đổi dữ liệu về ngân sách, sổ cái, nhiệm vụ, phần thưởng hoặc tín hiệu SOS.")</f>
        <v>Trí tuệ nhân tạo (AI) đưa ra câu trả lời mang tính thông tin mà không làm thay đổi dữ liệu về ngân sách, sổ cái, nhiệm vụ, phần thưởng hoặc tín hiệu SOS.</v>
      </c>
      <c r="H59" s="42" t="str">
        <f>IF('Main Flow Steps'!H80="","",'Main Flow Steps'!H80)</f>
        <v>UC65, UC66, UC67, UC68</v>
      </c>
      <c r="I59" s="42" t="str">
        <f>IF('Main Flow Steps'!I80="","",'Main Flow Steps'!I80)</f>
        <v>BR-AI-02, BR-AI-05</v>
      </c>
      <c r="J59" s="42" t="str">
        <f>IFERROR(__xludf.DUMMYFUNCTION("IF('Main Flow Steps'!J80="""","""",IFERROR(GOOGLETRANSLATE('Main Flow Steps'!J80,""en"",""vi""),'Main Flow Steps'!J80))"),"Câu trả lời được tạo ra bởi AI.")</f>
        <v>Câu trả lời được tạo ra bởi AI.</v>
      </c>
      <c r="K59" s="42" t="str">
        <f>IFERROR(__xludf.DUMMYFUNCTION("IF('Main Flow Steps'!K80="""","""",IFERROR(GOOGLETRANSLATE('Main Flow Steps'!K80,""en"",""vi""),'Main Flow Steps'!K80))"),"Không có khả năng tự đưa ra quyết định trong mô hình MVP.")</f>
        <v>Không có khả năng tự đưa ra quyết định trong mô hình MVP.</v>
      </c>
    </row>
    <row r="60">
      <c r="A60" s="42" t="str">
        <f>IF('Main Flow Steps'!A81="","",'Main Flow Steps'!A81)</f>
        <v>SF2</v>
      </c>
      <c r="B60" s="42" t="str">
        <f>IFERROR(__xludf.DUMMYFUNCTION("IF('Main Flow Steps'!B81="""","""",IFERROR(GOOGLETRANSLATE('Main Flow Steps'!B81,""en"",""vi""),'Main Flow Steps'!B81))"),"Hiểu biết về gia đình được hỗ trợ bởi trí tuệ nhân tạo")</f>
        <v>Hiểu biết về gia đình được hỗ trợ bởi trí tuệ nhân tạo</v>
      </c>
      <c r="C60" s="45">
        <f>IF('Main Flow Steps'!C81="","",'Main Flow Steps'!C81)</f>
        <v>5</v>
      </c>
      <c r="D60" s="42" t="str">
        <f>IF('Main Flow Steps'!D81="","",SWITCH('Main Flow Steps'!D81,"Start","Bắt đầu","End","Kết thúc","User Action","Hành động người dùng","System Action","Hành động hệ thống","Optional User Action","Hành động tùy chọn của người dùng","Optional System Action","Hành động tùy chọn của hệ thống",'Main Flow Steps'!D81))</f>
        <v>Hành động người dùng</v>
      </c>
      <c r="E60" s="42" t="str">
        <f>IFERROR(__xludf.DUMMYFUNCTION("IF('Main Flow Steps'!E81="""","""",IFERROR(GOOGLETRANSLATE('Main Flow Steps'!E81,""en"",""vi""),'Main Flow Steps'!E81))"),"Thành viên gia đình / Người quản lý gia đình")</f>
        <v>Thành viên gia đình / Người quản lý gia đình</v>
      </c>
      <c r="F60" s="42" t="str">
        <f>IFERROR(__xludf.DUMMYFUNCTION("IF('Main Flow Steps'!F81="""","""",IFERROR(GOOGLETRANSLATE('Main Flow Steps'!F81,""en"",""vi""),'Main Flow Steps'!F81))"),"Xem câu trả lời của AI và quyết định xem có nên thực hiện thao tác thủ công trong mô-đun liên quan hay không.")</f>
        <v>Xem câu trả lời của AI và quyết định xem có nên thực hiện thao tác thủ công trong mô-đun liên quan hay không.</v>
      </c>
      <c r="G60" s="42" t="str">
        <f>IFERROR(__xludf.DUMMYFUNCTION("IF('Main Flow Steps'!G81="""","""",IFERROR(GOOGLETRANSLATE('Main Flow Steps'!G81,""en"",""vi""),'Main Flow Steps'!G81))"),"Hệ thống không thực hiện bất kỳ hành động thực sự nào trừ khi người dùng sử dụng rõ ràng chức năng tài chính/công việc/SOS thông thường.")</f>
        <v>Hệ thống không thực hiện bất kỳ hành động thực sự nào trừ khi người dùng sử dụng rõ ràng chức năng tài chính/công việc/SOS thông thường.</v>
      </c>
      <c r="H60" s="42" t="str">
        <f>IF('Main Flow Steps'!H81="","",'Main Flow Steps'!H81)</f>
        <v>UC65-UC68</v>
      </c>
      <c r="I60" s="42" t="str">
        <f>IF('Main Flow Steps'!I81="","",'Main Flow Steps'!I81)</f>
        <v>BR-AI-02, BR-AI-05</v>
      </c>
      <c r="J60" s="42" t="str">
        <f>IFERROR(__xludf.DUMMYFUNCTION("IF('Main Flow Steps'!J81="""","""",IFERROR(GOOGLETRANSLATE('Main Flow Steps'!J81,""en"",""vi""),'Main Flow Steps'!J81))"),"Người dùng nhận được hỗ trợ tư vấn nhưng vẫn giữ quyền quyết định.")</f>
        <v>Người dùng nhận được hỗ trợ tư vấn nhưng vẫn giữ quyền quyết định.</v>
      </c>
      <c r="K60" s="42" t="str">
        <f>IFERROR(__xludf.DUMMYFUNCTION("IF('Main Flow Steps'!K81="""","""",IFERROR(GOOGLETRANSLATE('Main Flow Steps'!K81,""en"",""vi""),'Main Flow Steps'!K81))"),"Các hoạt động vẫn nằm trong các luồng cốt lõi hiện có.")</f>
        <v>Các hoạt động vẫn nằm trong các luồng cốt lõi hiện có.</v>
      </c>
    </row>
    <row r="61">
      <c r="A61" s="42" t="str">
        <f>IF('Main Flow Steps'!A82="","",'Main Flow Steps'!A82)</f>
        <v>SF2</v>
      </c>
      <c r="B61" s="42" t="str">
        <f>IFERROR(__xludf.DUMMYFUNCTION("IF('Main Flow Steps'!B82="""","""",IFERROR(GOOGLETRANSLATE('Main Flow Steps'!B82,""en"",""vi""),'Main Flow Steps'!B82))"),"Hiểu biết về gia đình được hỗ trợ bởi trí tuệ nhân tạo")</f>
        <v>Hiểu biết về gia đình được hỗ trợ bởi trí tuệ nhân tạo</v>
      </c>
      <c r="C61" s="45">
        <f>IF('Main Flow Steps'!C82="","",'Main Flow Steps'!C82)</f>
        <v>6</v>
      </c>
      <c r="D61" s="42" t="str">
        <f>IF('Main Flow Steps'!D82="","",SWITCH('Main Flow Steps'!D82,"Start","Bắt đầu","End","Kết thúc","User Action","Hành động người dùng","System Action","Hành động hệ thống","Optional User Action","Hành động tùy chọn của người dùng","Optional System Action","Hành động tùy chọn của hệ thống",'Main Flow Steps'!D82))</f>
        <v>Hành động tùy chọn của hệ thống</v>
      </c>
      <c r="E61" s="42" t="str">
        <f>IFERROR(__xludf.DUMMYFUNCTION("IF('Main Flow Steps'!E82="""","""",IFERROR(GOOGLETRANSLATE('Main Flow Steps'!E82,""en"",""vi""),'Main Flow Steps'!E82))"),"Hệ thống")</f>
        <v>Hệ thống</v>
      </c>
      <c r="F61" s="42" t="str">
        <f>IFERROR(__xludf.DUMMYFUNCTION("IF('Main Flow Steps'!F82="""","""",IFERROR(GOOGLETRANSLATE('Main Flow Steps'!F82,""en"",""vi""),'Main Flow Steps'!F82))"),"Tùy chọn lưu trữ siêu dữ liệu/lịch sử cuộc hội thoại AI theo phạm vi bảo mật và triển khai.")</f>
        <v>Tùy chọn lưu trữ siêu dữ liệu/lịch sử cuộc hội thoại AI theo phạm vi bảo mật và triển khai.</v>
      </c>
      <c r="G61" s="42" t="str">
        <f>IFERROR(__xludf.DUMMYFUNCTION("IF('Main Flow Steps'!G82="""","""",IFERROR(GOOGLETRANSLATE('Main Flow Steps'!G82,""en"",""vi""),'Main Flow Steps'!G82))"),"Hệ thống chỉ lưu trữ siêu dữ liệu/nội dung được cho phép và không tiết lộ thông tin giữa các nhóm sản phẩm.")</f>
        <v>Hệ thống chỉ lưu trữ siêu dữ liệu/nội dung được cho phép và không tiết lộ thông tin giữa các nhóm sản phẩm.</v>
      </c>
      <c r="H61" s="42" t="str">
        <f>IF('Main Flow Steps'!H82="","",'Main Flow Steps'!H82)</f>
        <v>UC65</v>
      </c>
      <c r="I61" s="42" t="str">
        <f>IF('Main Flow Steps'!I82="","",'Main Flow Steps'!I82)</f>
        <v>BR-AI-01</v>
      </c>
      <c r="J61" s="42" t="str">
        <f>IFERROR(__xludf.DUMMYFUNCTION("IF('Main Flow Steps'!J82="""","""",IFERROR(GOOGLETRANSLATE('Main Flow Steps'!J82,""en"",""vi""),'Main Flow Steps'!J82))"),"Lịch sử tương tác với AI sẽ được lưu trữ nếu tính năng này được triển khai.")</f>
        <v>Lịch sử tương tác với AI sẽ được lưu trữ nếu tính năng này được triển khai.</v>
      </c>
      <c r="K61" s="42" t="str">
        <f>IFERROR(__xludf.DUMMYFUNCTION("IF('Main Flow Steps'!K82="""","""",IFERROR(GOOGLETRANSLATE('Main Flow Steps'!K82,""en"",""vi""),'Main Flow Steps'!K82))"),"Lịch sử cuộc trò chuyện có thể được ghi lại dưới dạng ""Đáng lẽ ra"" nếu thời gian cho phép.")</f>
        <v>Lịch sử cuộc trò chuyện có thể được ghi lại dưới dạng "Đáng lẽ ra" nếu thời gian cho phép.</v>
      </c>
    </row>
    <row r="62">
      <c r="A62" s="42" t="str">
        <f>IF('Main Flow Steps'!A83="","",'Main Flow Steps'!A83)</f>
        <v>SF2</v>
      </c>
      <c r="B62" s="42" t="str">
        <f>IFERROR(__xludf.DUMMYFUNCTION("IF('Main Flow Steps'!B83="""","""",IFERROR(GOOGLETRANSLATE('Main Flow Steps'!B83,""en"",""vi""),'Main Flow Steps'!B83))"),"Hiểu biết về gia đình được hỗ trợ bởi trí tuệ nhân tạo")</f>
        <v>Hiểu biết về gia đình được hỗ trợ bởi trí tuệ nhân tạo</v>
      </c>
      <c r="C62" s="45">
        <f>IF('Main Flow Steps'!C83="","",'Main Flow Steps'!C83)</f>
        <v>7</v>
      </c>
      <c r="D62" s="42" t="str">
        <f>IF('Main Flow Steps'!D83="","",SWITCH('Main Flow Steps'!D83,"Start","Bắt đầu","End","Kết thúc","User Action","Hành động người dùng","System Action","Hành động hệ thống","Optional User Action","Hành động tùy chọn của người dùng","Optional System Action","Hành động tùy chọn của hệ thống",'Main Flow Steps'!D83))</f>
        <v>Kết thúc</v>
      </c>
      <c r="E62" s="42" t="str">
        <f>IFERROR(__xludf.DUMMYFUNCTION("IF('Main Flow Steps'!E83="""","""",IFERROR(GOOGLETRANSLATE('Main Flow Steps'!E83,""en"",""vi""),'Main Flow Steps'!E83))"),"Hệ thống")</f>
        <v>Hệ thống</v>
      </c>
      <c r="F62" s="42" t="str">
        <f>IFERROR(__xludf.DUMMYFUNCTION("IF('Main Flow Steps'!F83="""","""",IFERROR(GOOGLETRANSLATE('Main Flow Steps'!F83,""en"",""vi""),'Main Flow Steps'!F83))"),"Đưa người dùng trở lại màn hình AI hoặc mô-đun tài chính/nhiệm vụ liên quan.")</f>
        <v>Đưa người dùng trở lại màn hình AI hoặc mô-đun tài chính/nhiệm vụ liên quan.</v>
      </c>
      <c r="G62" s="42" t="str">
        <f>IFERROR(__xludf.DUMMYFUNCTION("IF('Main Flow Steps'!G83="""","""",IFERROR(GOOGLETRANSLATE('Main Flow Steps'!G83,""en"",""vi""),'Main Flow Steps'!G83))"),"Hệ thống này giữ cho luồng tư vấn AI tách biệt khỏi các hoạt động thực tế.")</f>
        <v>Hệ thống này giữ cho luồng tư vấn AI tách biệt khỏi các hoạt động thực tế.</v>
      </c>
      <c r="H62" s="42" t="str">
        <f>IF('Main Flow Steps'!H83="","",'Main Flow Steps'!H83)</f>
        <v>UC65-UC68</v>
      </c>
      <c r="I62" s="42" t="str">
        <f>IF('Main Flow Steps'!I83="","",'Main Flow Steps'!I83)</f>
        <v>BR-AI-02, BR-AI-05</v>
      </c>
      <c r="J62" s="42" t="str">
        <f>IFERROR(__xludf.DUMMYFUNCTION("IF('Main Flow Steps'!J83="""","""",IFERROR(GOOGLETRANSLATE('Main Flow Steps'!J83,""en"",""vi""),'Main Flow Steps'!J83))"),"Quá trình phân tích chuyên sâu dựa trên trí tuệ nhân tạo đã hoàn tất.")</f>
        <v>Quá trình phân tích chuyên sâu dựa trên trí tuệ nhân tạo đã hoàn tất.</v>
      </c>
      <c r="K62" s="42" t="str">
        <f>IFERROR(__xludf.DUMMYFUNCTION("IF('Main Flow Steps'!K83="""","""",IFERROR(GOOGLETRANSLATE('Main Flow Steps'!K83,""en"",""vi""),'Main Flow Steps'!K83))"),"Trạng thái cuối cùng: Trí tuệ nhân tạo giúp giải thích/đề xuất nhưng không tự động hành động.")</f>
        <v>Trạng thái cuối cùng: Trí tuệ nhân tạo giúp giải thích/đề xuất nhưng không tự động hành động.</v>
      </c>
    </row>
    <row r="63">
      <c r="A63" s="42" t="str">
        <f>IF('Main Flow Steps'!A84="","",'Main Flow Steps'!A84)</f>
        <v>SF3</v>
      </c>
      <c r="B63" s="42" t="str">
        <f>IFERROR(__xludf.DUMMYFUNCTION("IF('Main Flow Steps'!B84="""","""",IFERROR(GOOGLETRANSLATE('Main Flow Steps'!B84,""en"",""vi""),'Main Flow Steps'!B84))"),"Quản lý gói đăng ký và quyền truy cập tính năng")</f>
        <v>Quản lý gói đăng ký và quyền truy cập tính năng</v>
      </c>
      <c r="C63" s="45">
        <f>IF('Main Flow Steps'!C84="","",'Main Flow Steps'!C84)</f>
        <v>1</v>
      </c>
      <c r="D63" s="42" t="str">
        <f>IF('Main Flow Steps'!D84="","",SWITCH('Main Flow Steps'!D84,"Start","Bắt đầu","End","Kết thúc","User Action","Hành động người dùng","System Action","Hành động hệ thống","Optional User Action","Hành động tùy chọn của người dùng","Optional System Action","Hành động tùy chọn của hệ thống",'Main Flow Steps'!D84))</f>
        <v>Bắt đầu</v>
      </c>
      <c r="E63" s="42" t="str">
        <f>IFERROR(__xludf.DUMMYFUNCTION("IF('Main Flow Steps'!E84="""","""",IFERROR(GOOGLETRANSLATE('Main Flow Steps'!E84,""en"",""vi""),'Main Flow Steps'!E84))"),"Quản lý gia đình")</f>
        <v>Quản lý gia đình</v>
      </c>
      <c r="F63" s="42" t="str">
        <f>IFERROR(__xludf.DUMMYFUNCTION("IF('Main Flow Steps'!F84="""","""",IFERROR(GOOGLETRANSLATE('Main Flow Steps'!F84,""en"",""vi""),'Main Flow Steps'!F84))"),"Mở màn hình đăng ký hiện tại và quyền truy cập tính năng.")</f>
        <v>Mở màn hình đăng ký hiện tại và quyền truy cập tính năng.</v>
      </c>
      <c r="G63" s="42" t="str">
        <f>IFERROR(__xludf.DUMMYFUNCTION("IF('Main Flow Steps'!G84="""","""",IFERROR(GOOGLETRANSLATE('Main Flow Steps'!G84,""en"",""vi""),'Main Flow Steps'!G84))"),"Hệ thống truy xuất gói cước hiện tại, trạng thái, ngày hết hạn và các tính năng khả dụng/bị khóa.")</f>
        <v>Hệ thống truy xuất gói cước hiện tại, trạng thái, ngày hết hạn và các tính năng khả dụng/bị khóa.</v>
      </c>
      <c r="H63" s="42" t="str">
        <f>IF('Main Flow Steps'!H84="","",'Main Flow Steps'!H84)</f>
        <v>UC76</v>
      </c>
      <c r="I63" s="42" t="str">
        <f>IF('Main Flow Steps'!I84="","",'Main Flow Steps'!I84)</f>
        <v>BR-SUB-01, BR-SUB-07</v>
      </c>
      <c r="J63" s="42" t="str">
        <f>IFERROR(__xludf.DUMMYFUNCTION("IF('Main Flow Steps'!J84="""","""",IFERROR(GOOGLETRANSLATE('Main Flow Steps'!J84,""en"",""vi""),'Main Flow Steps'!J84))"),"Trạng thái đăng ký hiện tại được hiển thị.")</f>
        <v>Trạng thái đăng ký hiện tại được hiển thị.</v>
      </c>
      <c r="K63" s="42" t="str">
        <f>IFERROR(__xludf.DUMMYFUNCTION("IF('Main Flow Steps'!K84="""","""",IFERROR(GOOGLETRANSLATE('Main Flow Steps'!K84,""en"",""vi""),'Main Flow Steps'!K84))"),"Quyền truy cập tính năng quan trọng hơn số lượng thành viên.")</f>
        <v>Quyền truy cập tính năng quan trọng hơn số lượng thành viên.</v>
      </c>
    </row>
    <row r="64">
      <c r="A64" s="42" t="str">
        <f>IF('Main Flow Steps'!A85="","",'Main Flow Steps'!A85)</f>
        <v>SF3</v>
      </c>
      <c r="B64" s="42" t="str">
        <f>IFERROR(__xludf.DUMMYFUNCTION("IF('Main Flow Steps'!B85="""","""",IFERROR(GOOGLETRANSLATE('Main Flow Steps'!B85,""en"",""vi""),'Main Flow Steps'!B85))"),"Quản lý gói đăng ký và quyền truy cập tính năng")</f>
        <v>Quản lý gói đăng ký và quyền truy cập tính năng</v>
      </c>
      <c r="C64" s="45">
        <f>IF('Main Flow Steps'!C85="","",'Main Flow Steps'!C85)</f>
        <v>2</v>
      </c>
      <c r="D64" s="42" t="str">
        <f>IF('Main Flow Steps'!D85="","",SWITCH('Main Flow Steps'!D85,"Start","Bắt đầu","End","Kết thúc","User Action","Hành động người dùng","System Action","Hành động hệ thống","Optional User Action","Hành động tùy chọn của người dùng","Optional System Action","Hành động tùy chọn của hệ thống",'Main Flow Steps'!D85))</f>
        <v>Hành động hệ thống</v>
      </c>
      <c r="E64" s="42" t="str">
        <f>IFERROR(__xludf.DUMMYFUNCTION("IF('Main Flow Steps'!E85="""","""",IFERROR(GOOGLETRANSLATE('Main Flow Steps'!E85,""en"",""vi""),'Main Flow Steps'!E85))"),"Hệ thống")</f>
        <v>Hệ thống</v>
      </c>
      <c r="F64" s="42" t="str">
        <f>IFERROR(__xludf.DUMMYFUNCTION("IF('Main Flow Steps'!F85="""","""",IFERROR(GOOGLETRANSLATE('Main Flow Steps'!F85,""en"",""vi""),'Main Flow Steps'!F85))"),"Hiển thị bảng so sánh các gói Free, Plus và Premium.")</f>
        <v>Hiển thị bảng so sánh các gói Free, Plus và Premium.</v>
      </c>
      <c r="G64" s="42" t="str">
        <f>IFERROR(__xludf.DUMMYFUNCTION("IF('Main Flow Steps'!G85="""","""",IFERROR(GOOGLETRANSLATE('Main Flow Steps'!G85,""en"",""vi""),'Main Flow Steps'!G85))"),"Hệ thống hiển thị sự khác biệt trong báo cáo tài chính, thông tin chi tiết từ AI, tính năng an toàn SOS, hỗ trợ thiết bị đeo được, album/bộ nhớ và khả năng xuất dữ liệu.")</f>
        <v>Hệ thống hiển thị sự khác biệt trong báo cáo tài chính, thông tin chi tiết từ AI, tính năng an toàn SOS, hỗ trợ thiết bị đeo được, album/bộ nhớ và khả năng xuất dữ liệu.</v>
      </c>
      <c r="H64" s="42" t="str">
        <f>IF('Main Flow Steps'!H85="","",'Main Flow Steps'!H85)</f>
        <v>UC01, UC76</v>
      </c>
      <c r="I64" s="42" t="str">
        <f>IF('Main Flow Steps'!I85="","",'Main Flow Steps'!I85)</f>
        <v>BR-SUB-02, BR-SUB-03, BR-SUB-04, BR-SUB-07</v>
      </c>
      <c r="J64" s="42" t="str">
        <f>IFERROR(__xludf.DUMMYFUNCTION("IF('Main Flow Steps'!J85="""","""",IFERROR(GOOGLETRANSLATE('Main Flow Steps'!J85,""en"",""vi""),'Main Flow Steps'!J85))"),"Bảng kế hoạch đã có sẵn.")</f>
        <v>Bảng kế hoạch đã có sẵn.</v>
      </c>
      <c r="K64" s="42" t="str">
        <f>IFERROR(__xludf.DUMMYFUNCTION("IF('Main Flow Steps'!K85="""","""",IFERROR(GOOGLETRANSLATE('Main Flow Steps'!K85,""en"",""vi""),'Main Flow Steps'!K85))"),"Các gói dịch vụ được bán theo tính năng: Miễn phí = Cơ bản, Plus = Quản lý, Premium = Trí tuệ nhân tạo + An toàn.")</f>
        <v>Các gói dịch vụ được bán theo tính năng: Miễn phí = Cơ bản, Plus = Quản lý, Premium = Trí tuệ nhân tạo + An toàn.</v>
      </c>
    </row>
    <row r="65">
      <c r="A65" s="42" t="str">
        <f>IF('Main Flow Steps'!A86="","",'Main Flow Steps'!A86)</f>
        <v>SF3</v>
      </c>
      <c r="B65" s="42" t="str">
        <f>IFERROR(__xludf.DUMMYFUNCTION("IF('Main Flow Steps'!B86="""","""",IFERROR(GOOGLETRANSLATE('Main Flow Steps'!B86,""en"",""vi""),'Main Flow Steps'!B86))"),"Quản lý gói đăng ký và quyền truy cập tính năng")</f>
        <v>Quản lý gói đăng ký và quyền truy cập tính năng</v>
      </c>
      <c r="C65" s="45">
        <f>IF('Main Flow Steps'!C86="","",'Main Flow Steps'!C86)</f>
        <v>3</v>
      </c>
      <c r="D65" s="42" t="str">
        <f>IF('Main Flow Steps'!D86="","",SWITCH('Main Flow Steps'!D86,"Start","Bắt đầu","End","Kết thúc","User Action","Hành động người dùng","System Action","Hành động hệ thống","Optional User Action","Hành động tùy chọn của người dùng","Optional System Action","Hành động tùy chọn của hệ thống",'Main Flow Steps'!D86))</f>
        <v>Hành động người dùng</v>
      </c>
      <c r="E65" s="42" t="str">
        <f>IFERROR(__xludf.DUMMYFUNCTION("IF('Main Flow Steps'!E86="""","""",IFERROR(GOOGLETRANSLATE('Main Flow Steps'!E86,""en"",""vi""),'Main Flow Steps'!E86))"),"Quản lý gia đình")</f>
        <v>Quản lý gia đình</v>
      </c>
      <c r="F65" s="42" t="str">
        <f>IFERROR(__xludf.DUMMYFUNCTION("IF('Main Flow Steps'!F86="""","""",IFERROR(GOOGLETRANSLATE('Main Flow Steps'!F86,""en"",""vi""),'Main Flow Steps'!F86))"),"Chọn nâng cấp từ gói Miễn phí lên gói Plus/Premium hoặc gia hạn gói hiện tại.")</f>
        <v>Chọn nâng cấp từ gói Miễn phí lên gói Plus/Premium hoặc gia hạn gói hiện tại.</v>
      </c>
      <c r="G65" s="42" t="str">
        <f>IFERROR(__xludf.DUMMYFUNCTION("IF('Main Flow Steps'!G86="""","""",IFERROR(GOOGLETRANSLATE('Main Flow Steps'!G86,""en"",""vi""),'Main Flow Steps'!G86))"),"Hệ thống xác thực quyền Quản lý Gia đình và gói dịch vụ đã chọn.")</f>
        <v>Hệ thống xác thực quyền Quản lý Gia đình và gói dịch vụ đã chọn.</v>
      </c>
      <c r="H65" s="42" t="str">
        <f>IF('Main Flow Steps'!H86="","",'Main Flow Steps'!H86)</f>
        <v>UC77</v>
      </c>
      <c r="I65" s="42" t="str">
        <f>IF('Main Flow Steps'!I86="","",'Main Flow Steps'!I86)</f>
        <v>BR-SUB-06, BR-SUB-07</v>
      </c>
      <c r="J65" s="42" t="str">
        <f>IFERROR(__xludf.DUMMYFUNCTION("IF('Main Flow Steps'!J86="""","""",IFERROR(GOOGLETRANSLATE('Main Flow Steps'!J86,""en"",""vi""),'Main Flow Steps'!J86))"),"Yêu cầu nâng cấp/gia hạn đã được tạo.")</f>
        <v>Yêu cầu nâng cấp/gia hạn đã được tạo.</v>
      </c>
      <c r="K65" s="42" t="str">
        <f>IFERROR(__xludf.DUMMYFUNCTION("IF('Main Flow Steps'!K86="""","""",IFERROR(GOOGLETRANSLATE('Main Flow Steps'!K86,""en"",""vi""),'Main Flow Steps'!K86))"),"Hiện tại, chỉ có Quản trị viên Gia đình mới được phép quản lý việc thanh toán phí đăng ký.")</f>
        <v>Hiện tại, chỉ có Quản trị viên Gia đình mới được phép quản lý việc thanh toán phí đăng ký.</v>
      </c>
    </row>
    <row r="66">
      <c r="A66" s="42" t="str">
        <f>IF('Main Flow Steps'!A87="","",'Main Flow Steps'!A87)</f>
        <v>SF3</v>
      </c>
      <c r="B66" s="42" t="str">
        <f>IFERROR(__xludf.DUMMYFUNCTION("IF('Main Flow Steps'!B87="""","""",IFERROR(GOOGLETRANSLATE('Main Flow Steps'!B87,""en"",""vi""),'Main Flow Steps'!B87))"),"Quản lý gói đăng ký và quyền truy cập tính năng")</f>
        <v>Quản lý gói đăng ký và quyền truy cập tính năng</v>
      </c>
      <c r="C66" s="45">
        <f>IF('Main Flow Steps'!C87="","",'Main Flow Steps'!C87)</f>
        <v>4</v>
      </c>
      <c r="D66" s="42" t="str">
        <f>IF('Main Flow Steps'!D87="","",SWITCH('Main Flow Steps'!D87,"Start","Bắt đầu","End","Kết thúc","User Action","Hành động người dùng","System Action","Hành động hệ thống","Optional User Action","Hành động tùy chọn của người dùng","Optional System Action","Hành động tùy chọn của hệ thống",'Main Flow Steps'!D87))</f>
        <v>System / External Action</v>
      </c>
      <c r="E66" s="42" t="str">
        <f>IFERROR(__xludf.DUMMYFUNCTION("IF('Main Flow Steps'!E87="""","""",IFERROR(GOOGLETRANSLATE('Main Flow Steps'!E87,""en"",""vi""),'Main Flow Steps'!E87))"),"Hệ thống / Cổng thanh toán")</f>
        <v>Hệ thống / Cổng thanh toán</v>
      </c>
      <c r="F66" s="42" t="str">
        <f>IFERROR(__xludf.DUMMYFUNCTION("IF('Main Flow Steps'!F87="""","""",IFERROR(GOOGLETRANSLATE('Main Flow Steps'!F87,""en"",""vi""),'Main Flow Steps'!F87))"),"Tiến hành thanh toán phí đăng ký hoặc mô phỏng thanh toán cho mục đích demo.")</f>
        <v>Tiến hành thanh toán phí đăng ký hoặc mô phỏng thanh toán cho mục đích demo.</v>
      </c>
      <c r="G66" s="42" t="str">
        <f>IFERROR(__xludf.DUMMYFUNCTION("IF('Main Flow Steps'!G87="""","""",IFERROR(GOOGLETRANSLATE('Main Flow Steps'!G87,""en"",""vi""),'Main Flow Steps'!G87))"),"Hệ thống chỉ sử dụng phí đăng ký để thanh toán và không bao giờ sử dụng cho Sổ quỹ gia đình, tiền trợ cấp hoặc phần thưởng.")</f>
        <v>Hệ thống chỉ sử dụng phí đăng ký để thanh toán và không bao giờ sử dụng cho Sổ quỹ gia đình, tiền trợ cấp hoặc phần thưởng.</v>
      </c>
      <c r="H66" s="42" t="str">
        <f>IF('Main Flow Steps'!H87="","",'Main Flow Steps'!H87)</f>
        <v>UC77</v>
      </c>
      <c r="I66" s="42" t="str">
        <f>IF('Main Flow Steps'!I87="","",'Main Flow Steps'!I87)</f>
        <v>BR-FIN-08, BR-SUB-06</v>
      </c>
      <c r="J66" s="42" t="str">
        <f>IFERROR(__xludf.DUMMYFUNCTION("IF('Main Flow Steps'!J87="""","""",IFERROR(GOOGLETRANSLATE('Main Flow Steps'!J87,""en"",""vi""),'Main Flow Steps'!J87))"),"Giao dịch thanh toán đăng ký thành công/thất bại hoặc mô phỏng thanh toán thử nghiệm.")</f>
        <v>Giao dịch thanh toán đăng ký thành công/thất bại hoặc mô phỏng thanh toán thử nghiệm.</v>
      </c>
      <c r="K66" s="42" t="str">
        <f>IFERROR(__xludf.DUMMYFUNCTION("IF('Main Flow Steps'!K87="""","""",IFERROR(GOOGLETRANSLATE('Main Flow Steps'!K87,""en"",""vi""),'Main Flow Steps'!K87))"),"Điều này làm rõ ranh giới pháp lý giữa việc thanh toán phí đăng ký và hồ sơ tài chính gia đình.")</f>
        <v>Điều này làm rõ ranh giới pháp lý giữa việc thanh toán phí đăng ký và hồ sơ tài chính gia đình.</v>
      </c>
    </row>
    <row r="67">
      <c r="A67" s="42" t="str">
        <f>IF('Main Flow Steps'!A88="","",'Main Flow Steps'!A88)</f>
        <v>SF3</v>
      </c>
      <c r="B67" s="42" t="str">
        <f>IFERROR(__xludf.DUMMYFUNCTION("IF('Main Flow Steps'!B88="""","""",IFERROR(GOOGLETRANSLATE('Main Flow Steps'!B88,""en"",""vi""),'Main Flow Steps'!B88))"),"Quản lý gói đăng ký và quyền truy cập tính năng")</f>
        <v>Quản lý gói đăng ký và quyền truy cập tính năng</v>
      </c>
      <c r="C67" s="45">
        <f>IF('Main Flow Steps'!C88="","",'Main Flow Steps'!C88)</f>
        <v>5</v>
      </c>
      <c r="D67" s="42" t="str">
        <f>IF('Main Flow Steps'!D88="","",SWITCH('Main Flow Steps'!D88,"Start","Bắt đầu","End","Kết thúc","User Action","Hành động người dùng","System Action","Hành động hệ thống","Optional User Action","Hành động tùy chọn của người dùng","Optional System Action","Hành động tùy chọn của hệ thống",'Main Flow Steps'!D88))</f>
        <v>Hành động hệ thống</v>
      </c>
      <c r="E67" s="42" t="str">
        <f>IFERROR(__xludf.DUMMYFUNCTION("IF('Main Flow Steps'!E88="""","""",IFERROR(GOOGLETRANSLATE('Main Flow Steps'!E88,""en"",""vi""),'Main Flow Steps'!E88))"),"Hệ thống")</f>
        <v>Hệ thống</v>
      </c>
      <c r="F67" s="42" t="str">
        <f>IFERROR(__xludf.DUMMYFUNCTION("IF('Main Flow Steps'!F88="""","""",IFERROR(GOOGLETRANSLATE('Main Flow Steps'!F88,""en"",""vi""),'Main Flow Steps'!F88))"),"Cập nhật trạng thái đăng ký và mở khóa/khóa các tính năng theo gói đã chọn.")</f>
        <v>Cập nhật trạng thái đăng ký và mở khóa/khóa các tính năng theo gói đã chọn.</v>
      </c>
      <c r="G67" s="42" t="str">
        <f>IFERROR(__xludf.DUMMYFUNCTION("IF('Main Flow Steps'!G88="""","""",IFERROR(GOOGLETRANSLATE('Main Flow Steps'!G88,""en"",""vi""),'Main Flow Steps'!G88))"),"Các bản cập nhật hệ thống cung cấp quyền truy cập vào báo cáo tài chính chi tiết, hạn mức AI, tính năng an toàn cho thiết bị đeo, album/lưu trữ và xuất dữ liệu.")</f>
        <v>Các bản cập nhật hệ thống cung cấp quyền truy cập vào báo cáo tài chính chi tiết, hạn mức AI, tính năng an toàn cho thiết bị đeo, album/lưu trữ và xuất dữ liệu.</v>
      </c>
      <c r="H67" s="42" t="str">
        <f>IF('Main Flow Steps'!H88="","",'Main Flow Steps'!H88)</f>
        <v>UC76, UC77</v>
      </c>
      <c r="I67" s="42" t="str">
        <f>IF('Main Flow Steps'!I88="","",'Main Flow Steps'!I88)</f>
        <v>BR-SUB-02, BR-SUB-03, BR-SUB-04, BR-SUB-07</v>
      </c>
      <c r="J67" s="42" t="str">
        <f>IFERROR(__xludf.DUMMYFUNCTION("IF('Main Flow Steps'!J88="""","""",IFERROR(GOOGLETRANSLATE('Main Flow Steps'!J88,""en"",""vi""),'Main Flow Steps'!J88))"),"Quyền truy cập tính năng gói cước đã được cập nhật.")</f>
        <v>Quyền truy cập tính năng gói cước đã được cập nhật.</v>
      </c>
      <c r="K67" s="42" t="str">
        <f>IFERROR(__xludf.DUMMYFUNCTION("IF('Main Flow Steps'!K88="""","""",IFERROR(GOOGLETRANSLATE('Main Flow Steps'!K88,""en"",""vi""),'Main Flow Steps'!K88))"),"Các cổng tính năng phải phù hợp với Ma trận Gói đăng ký.")</f>
        <v>Các cổng tính năng phải phù hợp với Ma trận Gói đăng ký.</v>
      </c>
    </row>
    <row r="68">
      <c r="A68" s="42" t="str">
        <f>IF('Main Flow Steps'!A89="","",'Main Flow Steps'!A89)</f>
        <v>SF3</v>
      </c>
      <c r="B68" s="42" t="str">
        <f>IFERROR(__xludf.DUMMYFUNCTION("IF('Main Flow Steps'!B89="""","""",IFERROR(GOOGLETRANSLATE('Main Flow Steps'!B89,""en"",""vi""),'Main Flow Steps'!B89))"),"Quản lý gói đăng ký và quyền truy cập tính năng")</f>
        <v>Quản lý gói đăng ký và quyền truy cập tính năng</v>
      </c>
      <c r="C68" s="45">
        <f>IF('Main Flow Steps'!C89="","",'Main Flow Steps'!C89)</f>
        <v>6</v>
      </c>
      <c r="D68" s="42" t="str">
        <f>IF('Main Flow Steps'!D89="","",SWITCH('Main Flow Steps'!D89,"Start","Bắt đầu","End","Kết thúc","User Action","Hành động người dùng","System Action","Hành động hệ thống","Optional User Action","Hành động tùy chọn của người dùng","Optional System Action","Hành động tùy chọn của hệ thống",'Main Flow Steps'!D89))</f>
        <v>Alternative / System Action</v>
      </c>
      <c r="E68" s="42" t="str">
        <f>IFERROR(__xludf.DUMMYFUNCTION("IF('Main Flow Steps'!E89="""","""",IFERROR(GOOGLETRANSLATE('Main Flow Steps'!E89,""en"",""vi""),'Main Flow Steps'!E89))"),"Hệ thống")</f>
        <v>Hệ thống</v>
      </c>
      <c r="F68" s="42" t="str">
        <f>IFERROR(__xludf.DUMMYFUNCTION("IF('Main Flow Steps'!F89="""","""",IFERROR(GOOGLETRANSLATE('Main Flow Steps'!F89,""en"",""vi""),'Main Flow Steps'!F89))"),"Xử lý đăng ký đã hết hạn.")</f>
        <v>Xử lý đăng ký đã hết hạn.</v>
      </c>
      <c r="G68" s="42" t="str">
        <f>IFERROR(__xludf.DUMMYFUNCTION("IF('Main Flow Steps'!G89="""","""",IFERROR(GOOGLETRANSLATE('Main Flow Steps'!G89,""en"",""vi""),'Main Flow Steps'!G89))"),"Hệ thống khóa các tính năng nâng cao nhưng vẫn cho phép xem dữ liệu gia đình hiện có theo quyền truy cập.")</f>
        <v>Hệ thống khóa các tính năng nâng cao nhưng vẫn cho phép xem dữ liệu gia đình hiện có theo quyền truy cập.</v>
      </c>
      <c r="H68" s="42" t="str">
        <f>IF('Main Flow Steps'!H89="","",'Main Flow Steps'!H89)</f>
        <v>UC78</v>
      </c>
      <c r="I68" s="42" t="str">
        <f>IF('Main Flow Steps'!I89="","",'Main Flow Steps'!I89)</f>
        <v>BR-SUB-05</v>
      </c>
      <c r="J68" s="42" t="str">
        <f>IFERROR(__xludf.DUMMYFUNCTION("IF('Main Flow Steps'!J89="""","""",IFERROR(GOOGLETRANSLATE('Main Flow Steps'!J89,""en"",""vi""),'Main Flow Steps'!J89))"),"Không gian làm việc chuyển sang chế độ truy cập hạn chế.")</f>
        <v>Không gian làm việc chuyển sang chế độ truy cập hạn chế.</v>
      </c>
      <c r="K68" s="42" t="str">
        <f>IFERROR(__xludf.DUMMYFUNCTION("IF('Main Flow Steps'!K89="""","""",IFERROR(GOOGLETRANSLATE('Main Flow Steps'!K89,""en"",""vi""),'Main Flow Steps'!K89))"),"Không được xóa hoặc ẩn dữ liệu hiện có sau khi hết hạn.")</f>
        <v>Không được xóa hoặc ẩn dữ liệu hiện có sau khi hết hạn.</v>
      </c>
    </row>
    <row r="69">
      <c r="A69" s="42" t="str">
        <f>IF('Main Flow Steps'!A90="","",'Main Flow Steps'!A90)</f>
        <v>SF3</v>
      </c>
      <c r="B69" s="42" t="str">
        <f>IFERROR(__xludf.DUMMYFUNCTION("IF('Main Flow Steps'!B90="""","""",IFERROR(GOOGLETRANSLATE('Main Flow Steps'!B90,""en"",""vi""),'Main Flow Steps'!B90))"),"Quản lý gói đăng ký và quyền truy cập tính năng")</f>
        <v>Quản lý gói đăng ký và quyền truy cập tính năng</v>
      </c>
      <c r="C69" s="45">
        <f>IF('Main Flow Steps'!C90="","",'Main Flow Steps'!C90)</f>
        <v>7</v>
      </c>
      <c r="D69" s="42" t="str">
        <f>IF('Main Flow Steps'!D90="","",SWITCH('Main Flow Steps'!D90,"Start","Bắt đầu","End","Kết thúc","User Action","Hành động người dùng","System Action","Hành động hệ thống","Optional User Action","Hành động tùy chọn của người dùng","Optional System Action","Hành động tùy chọn của hệ thống",'Main Flow Steps'!D90))</f>
        <v>Kết thúc</v>
      </c>
      <c r="E69" s="42" t="str">
        <f>IFERROR(__xludf.DUMMYFUNCTION("IF('Main Flow Steps'!E90="""","""",IFERROR(GOOGLETRANSLATE('Main Flow Steps'!E90,""en"",""vi""),'Main Flow Steps'!E90))"),"Hệ thống")</f>
        <v>Hệ thống</v>
      </c>
      <c r="F69" s="42" t="str">
        <f>IFERROR(__xludf.DUMMYFUNCTION("IF('Main Flow Steps'!F90="""","""",IFERROR(GOOGLETRANSLATE('Main Flow Steps'!F90,""en"",""vi""),'Main Flow Steps'!F90))"),"Hiển thị gói cước đã cập nhật, trạng thái và các tính năng khả dụng/bị khóa.")</f>
        <v>Hiển thị gói cước đã cập nhật, trạng thái và các tính năng khả dụng/bị khóa.</v>
      </c>
      <c r="G69" s="42" t="str">
        <f>IFERROR(__xludf.DUMMYFUNCTION("IF('Main Flow Steps'!G90="""","""",IFERROR(GOOGLETRANSLATE('Main Flow Steps'!G90,""en"",""vi""),'Main Flow Steps'!G90))"),"Hệ thống duy trì trạng thái gói dịch vụ nhất quán với quyền truy cập tính năng trên các mô-đun.")</f>
        <v>Hệ thống duy trì trạng thái gói dịch vụ nhất quán với quyền truy cập tính năng trên các mô-đun.</v>
      </c>
      <c r="H69" s="42" t="str">
        <f>IF('Main Flow Steps'!H90="","",'Main Flow Steps'!H90)</f>
        <v>UC76-UC78</v>
      </c>
      <c r="I69" s="42" t="str">
        <f>IF('Main Flow Steps'!I90="","",'Main Flow Steps'!I90)</f>
        <v>BR-SUB-01, BR-SUB-05, BR-SUB-07</v>
      </c>
      <c r="J69" s="42" t="str">
        <f>IFERROR(__xludf.DUMMYFUNCTION("IF('Main Flow Steps'!J90="""","""",IFERROR(GOOGLETRANSLATE('Main Flow Steps'!J90,""en"",""vi""),'Main Flow Steps'!J90))"),"Quy trình quản lý đăng ký đã hoàn tất.")</f>
        <v>Quy trình quản lý đăng ký đã hoàn tất.</v>
      </c>
      <c r="K69" s="42" t="str">
        <f>IFERROR(__xludf.DUMMYFUNCTION("IF('Main Flow Steps'!K90="""","""",IFERROR(GOOGLETRANSLATE('Main Flow Steps'!K90,""en"",""vi""),'Main Flow Steps'!K90))"),"Trạng thái cuối cùng: đăng ký đã được xóa bỏ và tách biệt khỏi Sổ cái Quỹ Gia đình.")</f>
        <v>Trạng thái cuối cùng: đăng ký đã được xóa bỏ và tách biệt khỏi Sổ cái Quỹ Gia đình.</v>
      </c>
    </row>
    <row r="70">
      <c r="A70" s="42" t="str">
        <f>IF('Main Flow Steps'!A91="","",'Main Flow Steps'!A91)</f>
        <v/>
      </c>
      <c r="B70" s="42" t="str">
        <f>IFERROR(__xludf.DUMMYFUNCTION("IF('Main Flow Steps'!B91="""","""",IFERROR(GOOGLETRANSLATE('Main Flow Steps'!B91,""en"",""vi""),'Main Flow Steps'!B91))"),"")</f>
        <v/>
      </c>
      <c r="C70" s="42" t="str">
        <f>IF('Main Flow Steps'!C91="","",'Main Flow Steps'!C91)</f>
        <v/>
      </c>
      <c r="D70" s="42" t="str">
        <f>IF('Main Flow Steps'!D91="","",SWITCH('Main Flow Steps'!D91,"Start","Bắt đầu","End","Kết thúc","User Action","Hành động người dùng","System Action","Hành động hệ thống","Optional User Action","Hành động tùy chọn của người dùng","Optional System Action","Hành động tùy chọn của hệ thống",'Main Flow Steps'!D91))</f>
        <v/>
      </c>
      <c r="E70" s="42" t="str">
        <f>IFERROR(__xludf.DUMMYFUNCTION("IF('Main Flow Steps'!E91="""","""",IFERROR(GOOGLETRANSLATE('Main Flow Steps'!E91,""en"",""vi""),'Main Flow Steps'!E91))"),"")</f>
        <v/>
      </c>
      <c r="F70" s="42" t="str">
        <f>IFERROR(__xludf.DUMMYFUNCTION("IF('Main Flow Steps'!F91="""","""",IFERROR(GOOGLETRANSLATE('Main Flow Steps'!F91,""en"",""vi""),'Main Flow Steps'!F91))"),"")</f>
        <v/>
      </c>
      <c r="G70" s="42" t="str">
        <f>IFERROR(__xludf.DUMMYFUNCTION("IF('Main Flow Steps'!G91="""","""",IFERROR(GOOGLETRANSLATE('Main Flow Steps'!G91,""en"",""vi""),'Main Flow Steps'!G91))"),"")</f>
        <v/>
      </c>
      <c r="H70" s="42" t="str">
        <f>IF('Main Flow Steps'!H91="","",'Main Flow Steps'!H91)</f>
        <v/>
      </c>
      <c r="I70" s="42" t="str">
        <f>IF('Main Flow Steps'!I91="","",'Main Flow Steps'!I91)</f>
        <v/>
      </c>
      <c r="J70" s="42" t="str">
        <f>IFERROR(__xludf.DUMMYFUNCTION("IF('Main Flow Steps'!J91="""","""",IFERROR(GOOGLETRANSLATE('Main Flow Steps'!J91,""en"",""vi""),'Main Flow Steps'!J91))"),"")</f>
        <v/>
      </c>
      <c r="K70" s="42" t="str">
        <f>IFERROR(__xludf.DUMMYFUNCTION("IF('Main Flow Steps'!K91="""","""",IFERROR(GOOGLETRANSLATE('Main Flow Steps'!K91,""en"",""vi""),'Main Flow Steps'!K91))"),"")</f>
        <v/>
      </c>
    </row>
    <row r="71">
      <c r="A71" s="42" t="str">
        <f>IF('Main Flow Steps'!A92="","",'Main Flow Steps'!A92)</f>
        <v/>
      </c>
      <c r="B71" s="42" t="str">
        <f>IFERROR(__xludf.DUMMYFUNCTION("IF('Main Flow Steps'!B92="""","""",IFERROR(GOOGLETRANSLATE('Main Flow Steps'!B92,""en"",""vi""),'Main Flow Steps'!B92))"),"")</f>
        <v/>
      </c>
      <c r="C71" s="42" t="str">
        <f>IF('Main Flow Steps'!C92="","",'Main Flow Steps'!C92)</f>
        <v/>
      </c>
      <c r="D71" s="42" t="str">
        <f>IF('Main Flow Steps'!D92="","",SWITCH('Main Flow Steps'!D92,"Start","Bắt đầu","End","Kết thúc","User Action","Hành động người dùng","System Action","Hành động hệ thống","Optional User Action","Hành động tùy chọn của người dùng","Optional System Action","Hành động tùy chọn của hệ thống",'Main Flow Steps'!D92))</f>
        <v/>
      </c>
      <c r="E71" s="42" t="str">
        <f>IFERROR(__xludf.DUMMYFUNCTION("IF('Main Flow Steps'!E92="""","""",IFERROR(GOOGLETRANSLATE('Main Flow Steps'!E92,""en"",""vi""),'Main Flow Steps'!E92))"),"")</f>
        <v/>
      </c>
      <c r="F71" s="42" t="str">
        <f>IFERROR(__xludf.DUMMYFUNCTION("IF('Main Flow Steps'!F92="""","""",IFERROR(GOOGLETRANSLATE('Main Flow Steps'!F92,""en"",""vi""),'Main Flow Steps'!F92))"),"")</f>
        <v/>
      </c>
      <c r="G71" s="42" t="str">
        <f>IFERROR(__xludf.DUMMYFUNCTION("IF('Main Flow Steps'!G92="""","""",IFERROR(GOOGLETRANSLATE('Main Flow Steps'!G92,""en"",""vi""),'Main Flow Steps'!G92))"),"")</f>
        <v/>
      </c>
      <c r="H71" s="42" t="str">
        <f>IF('Main Flow Steps'!H92="","",'Main Flow Steps'!H92)</f>
        <v/>
      </c>
      <c r="I71" s="42" t="str">
        <f>IF('Main Flow Steps'!I92="","",'Main Flow Steps'!I92)</f>
        <v/>
      </c>
      <c r="J71" s="42" t="str">
        <f>IFERROR(__xludf.DUMMYFUNCTION("IF('Main Flow Steps'!J92="""","""",IFERROR(GOOGLETRANSLATE('Main Flow Steps'!J92,""en"",""vi""),'Main Flow Steps'!J92))"),"")</f>
        <v/>
      </c>
      <c r="K71" s="42" t="str">
        <f>IFERROR(__xludf.DUMMYFUNCTION("IF('Main Flow Steps'!K92="""","""",IFERROR(GOOGLETRANSLATE('Main Flow Steps'!K92,""en"",""vi""),'Main Flow Steps'!K92))"),"")</f>
        <v/>
      </c>
    </row>
    <row r="72">
      <c r="A72" s="42" t="str">
        <f>IF('Main Flow Steps'!A93="","",'Main Flow Steps'!A93)</f>
        <v/>
      </c>
      <c r="B72" s="42" t="str">
        <f>IFERROR(__xludf.DUMMYFUNCTION("IF('Main Flow Steps'!B93="""","""",IFERROR(GOOGLETRANSLATE('Main Flow Steps'!B93,""en"",""vi""),'Main Flow Steps'!B93))"),"")</f>
        <v/>
      </c>
      <c r="C72" s="42" t="str">
        <f>IF('Main Flow Steps'!C93="","",'Main Flow Steps'!C93)</f>
        <v/>
      </c>
      <c r="D72" s="42" t="str">
        <f>IF('Main Flow Steps'!D93="","",SWITCH('Main Flow Steps'!D93,"Start","Bắt đầu","End","Kết thúc","User Action","Hành động người dùng","System Action","Hành động hệ thống","Optional User Action","Hành động tùy chọn của người dùng","Optional System Action","Hành động tùy chọn của hệ thống",'Main Flow Steps'!D93))</f>
        <v/>
      </c>
      <c r="E72" s="42" t="str">
        <f>IFERROR(__xludf.DUMMYFUNCTION("IF('Main Flow Steps'!E93="""","""",IFERROR(GOOGLETRANSLATE('Main Flow Steps'!E93,""en"",""vi""),'Main Flow Steps'!E93))"),"")</f>
        <v/>
      </c>
      <c r="F72" s="42" t="str">
        <f>IFERROR(__xludf.DUMMYFUNCTION("IF('Main Flow Steps'!F93="""","""",IFERROR(GOOGLETRANSLATE('Main Flow Steps'!F93,""en"",""vi""),'Main Flow Steps'!F93))"),"")</f>
        <v/>
      </c>
      <c r="G72" s="42" t="str">
        <f>IFERROR(__xludf.DUMMYFUNCTION("IF('Main Flow Steps'!G93="""","""",IFERROR(GOOGLETRANSLATE('Main Flow Steps'!G93,""en"",""vi""),'Main Flow Steps'!G93))"),"")</f>
        <v/>
      </c>
      <c r="H72" s="42" t="str">
        <f>IF('Main Flow Steps'!H93="","",'Main Flow Steps'!H93)</f>
        <v/>
      </c>
      <c r="I72" s="42" t="str">
        <f>IF('Main Flow Steps'!I93="","",'Main Flow Steps'!I93)</f>
        <v/>
      </c>
      <c r="J72" s="42" t="str">
        <f>IFERROR(__xludf.DUMMYFUNCTION("IF('Main Flow Steps'!J93="""","""",IFERROR(GOOGLETRANSLATE('Main Flow Steps'!J93,""en"",""vi""),'Main Flow Steps'!J93))"),"")</f>
        <v/>
      </c>
      <c r="K72" s="42" t="str">
        <f>IFERROR(__xludf.DUMMYFUNCTION("IF('Main Flow Steps'!K93="""","""",IFERROR(GOOGLETRANSLATE('Main Flow Steps'!K93,""en"",""vi""),'Main Flow Steps'!K93))"),"")</f>
        <v/>
      </c>
    </row>
    <row r="73">
      <c r="A73" s="42" t="str">
        <f>IF('Main Flow Steps'!A94="","",'Main Flow Steps'!A94)</f>
        <v/>
      </c>
      <c r="B73" s="42" t="str">
        <f>IFERROR(__xludf.DUMMYFUNCTION("IF('Main Flow Steps'!B94="""","""",IFERROR(GOOGLETRANSLATE('Main Flow Steps'!B94,""en"",""vi""),'Main Flow Steps'!B94))"),"")</f>
        <v/>
      </c>
      <c r="C73" s="42" t="str">
        <f>IF('Main Flow Steps'!C94="","",'Main Flow Steps'!C94)</f>
        <v/>
      </c>
      <c r="D73" s="42" t="str">
        <f>IF('Main Flow Steps'!D94="","",SWITCH('Main Flow Steps'!D94,"Start","Bắt đầu","End","Kết thúc","User Action","Hành động người dùng","System Action","Hành động hệ thống","Optional User Action","Hành động tùy chọn của người dùng","Optional System Action","Hành động tùy chọn của hệ thống",'Main Flow Steps'!D94))</f>
        <v/>
      </c>
      <c r="E73" s="42" t="str">
        <f>IFERROR(__xludf.DUMMYFUNCTION("IF('Main Flow Steps'!E94="""","""",IFERROR(GOOGLETRANSLATE('Main Flow Steps'!E94,""en"",""vi""),'Main Flow Steps'!E94))"),"")</f>
        <v/>
      </c>
      <c r="F73" s="42" t="str">
        <f>IFERROR(__xludf.DUMMYFUNCTION("IF('Main Flow Steps'!F94="""","""",IFERROR(GOOGLETRANSLATE('Main Flow Steps'!F94,""en"",""vi""),'Main Flow Steps'!F94))"),"")</f>
        <v/>
      </c>
      <c r="G73" s="42" t="str">
        <f>IFERROR(__xludf.DUMMYFUNCTION("IF('Main Flow Steps'!G94="""","""",IFERROR(GOOGLETRANSLATE('Main Flow Steps'!G94,""en"",""vi""),'Main Flow Steps'!G94))"),"")</f>
        <v/>
      </c>
      <c r="H73" s="42" t="str">
        <f>IF('Main Flow Steps'!H94="","",'Main Flow Steps'!H94)</f>
        <v/>
      </c>
      <c r="I73" s="42" t="str">
        <f>IF('Main Flow Steps'!I94="","",'Main Flow Steps'!I94)</f>
        <v/>
      </c>
      <c r="J73" s="42" t="str">
        <f>IFERROR(__xludf.DUMMYFUNCTION("IF('Main Flow Steps'!J94="""","""",IFERROR(GOOGLETRANSLATE('Main Flow Steps'!J94,""en"",""vi""),'Main Flow Steps'!J94))"),"")</f>
        <v/>
      </c>
      <c r="K73" s="42" t="str">
        <f>IFERROR(__xludf.DUMMYFUNCTION("IF('Main Flow Steps'!K94="""","""",IFERROR(GOOGLETRANSLATE('Main Flow Steps'!K94,""en"",""vi""),'Main Flow Steps'!K94))"),"")</f>
        <v/>
      </c>
    </row>
    <row r="74">
      <c r="A74" s="42" t="str">
        <f>IF('Main Flow Steps'!A95="","",'Main Flow Steps'!A95)</f>
        <v/>
      </c>
      <c r="B74" s="42" t="str">
        <f>IFERROR(__xludf.DUMMYFUNCTION("IF('Main Flow Steps'!B95="""","""",IFERROR(GOOGLETRANSLATE('Main Flow Steps'!B95,""en"",""vi""),'Main Flow Steps'!B95))"),"")</f>
        <v/>
      </c>
      <c r="C74" s="42" t="str">
        <f>IF('Main Flow Steps'!C95="","",'Main Flow Steps'!C95)</f>
        <v/>
      </c>
      <c r="D74" s="42" t="str">
        <f>IF('Main Flow Steps'!D95="","",SWITCH('Main Flow Steps'!D95,"Start","Bắt đầu","End","Kết thúc","User Action","Hành động người dùng","System Action","Hành động hệ thống","Optional User Action","Hành động tùy chọn của người dùng","Optional System Action","Hành động tùy chọn của hệ thống",'Main Flow Steps'!D95))</f>
        <v/>
      </c>
      <c r="E74" s="42" t="str">
        <f>IFERROR(__xludf.DUMMYFUNCTION("IF('Main Flow Steps'!E95="""","""",IFERROR(GOOGLETRANSLATE('Main Flow Steps'!E95,""en"",""vi""),'Main Flow Steps'!E95))"),"")</f>
        <v/>
      </c>
      <c r="F74" s="42" t="str">
        <f>IFERROR(__xludf.DUMMYFUNCTION("IF('Main Flow Steps'!F95="""","""",IFERROR(GOOGLETRANSLATE('Main Flow Steps'!F95,""en"",""vi""),'Main Flow Steps'!F95))"),"")</f>
        <v/>
      </c>
      <c r="G74" s="42" t="str">
        <f>IFERROR(__xludf.DUMMYFUNCTION("IF('Main Flow Steps'!G95="""","""",IFERROR(GOOGLETRANSLATE('Main Flow Steps'!G95,""en"",""vi""),'Main Flow Steps'!G95))"),"")</f>
        <v/>
      </c>
      <c r="H74" s="42" t="str">
        <f>IF('Main Flow Steps'!H95="","",'Main Flow Steps'!H95)</f>
        <v/>
      </c>
      <c r="I74" s="42" t="str">
        <f>IF('Main Flow Steps'!I95="","",'Main Flow Steps'!I95)</f>
        <v/>
      </c>
      <c r="J74" s="42" t="str">
        <f>IFERROR(__xludf.DUMMYFUNCTION("IF('Main Flow Steps'!J95="""","""",IFERROR(GOOGLETRANSLATE('Main Flow Steps'!J95,""en"",""vi""),'Main Flow Steps'!J95))"),"")</f>
        <v/>
      </c>
      <c r="K74" s="42" t="str">
        <f>IFERROR(__xludf.DUMMYFUNCTION("IF('Main Flow Steps'!K95="""","""",IFERROR(GOOGLETRANSLATE('Main Flow Steps'!K95,""en"",""vi""),'Main Flow Steps'!K95))"),"")</f>
        <v/>
      </c>
    </row>
    <row r="75">
      <c r="A75" s="42" t="str">
        <f>IF('Main Flow Steps'!A96="","",'Main Flow Steps'!A96)</f>
        <v/>
      </c>
      <c r="B75" s="42" t="str">
        <f>IFERROR(__xludf.DUMMYFUNCTION("IF('Main Flow Steps'!B96="""","""",IFERROR(GOOGLETRANSLATE('Main Flow Steps'!B96,""en"",""vi""),'Main Flow Steps'!B96))"),"")</f>
        <v/>
      </c>
      <c r="C75" s="42" t="str">
        <f>IF('Main Flow Steps'!C96="","",'Main Flow Steps'!C96)</f>
        <v/>
      </c>
      <c r="D75" s="42" t="str">
        <f>IF('Main Flow Steps'!D96="","",SWITCH('Main Flow Steps'!D96,"Start","Bắt đầu","End","Kết thúc","User Action","Hành động người dùng","System Action","Hành động hệ thống","Optional User Action","Hành động tùy chọn của người dùng","Optional System Action","Hành động tùy chọn của hệ thống",'Main Flow Steps'!D96))</f>
        <v/>
      </c>
      <c r="E75" s="42" t="str">
        <f>IFERROR(__xludf.DUMMYFUNCTION("IF('Main Flow Steps'!E96="""","""",IFERROR(GOOGLETRANSLATE('Main Flow Steps'!E96,""en"",""vi""),'Main Flow Steps'!E96))"),"")</f>
        <v/>
      </c>
      <c r="F75" s="42" t="str">
        <f>IFERROR(__xludf.DUMMYFUNCTION("IF('Main Flow Steps'!F96="""","""",IFERROR(GOOGLETRANSLATE('Main Flow Steps'!F96,""en"",""vi""),'Main Flow Steps'!F96))"),"")</f>
        <v/>
      </c>
      <c r="G75" s="42" t="str">
        <f>IFERROR(__xludf.DUMMYFUNCTION("IF('Main Flow Steps'!G96="""","""",IFERROR(GOOGLETRANSLATE('Main Flow Steps'!G96,""en"",""vi""),'Main Flow Steps'!G96))"),"")</f>
        <v/>
      </c>
      <c r="H75" s="42" t="str">
        <f>IF('Main Flow Steps'!H96="","",'Main Flow Steps'!H96)</f>
        <v/>
      </c>
      <c r="I75" s="42" t="str">
        <f>IF('Main Flow Steps'!I96="","",'Main Flow Steps'!I96)</f>
        <v/>
      </c>
      <c r="J75" s="42" t="str">
        <f>IFERROR(__xludf.DUMMYFUNCTION("IF('Main Flow Steps'!J96="""","""",IFERROR(GOOGLETRANSLATE('Main Flow Steps'!J96,""en"",""vi""),'Main Flow Steps'!J96))"),"")</f>
        <v/>
      </c>
      <c r="K75" s="42" t="str">
        <f>IFERROR(__xludf.DUMMYFUNCTION("IF('Main Flow Steps'!K96="""","""",IFERROR(GOOGLETRANSLATE('Main Flow Steps'!K96,""en"",""vi""),'Main Flow Steps'!K96))"),"")</f>
        <v/>
      </c>
    </row>
    <row r="76">
      <c r="A76" s="42" t="str">
        <f>IF('Main Flow Steps'!A97="","",'Main Flow Steps'!A97)</f>
        <v/>
      </c>
      <c r="B76" s="42" t="str">
        <f>IFERROR(__xludf.DUMMYFUNCTION("IF('Main Flow Steps'!B97="""","""",IFERROR(GOOGLETRANSLATE('Main Flow Steps'!B97,""en"",""vi""),'Main Flow Steps'!B97))"),"")</f>
        <v/>
      </c>
      <c r="C76" s="42" t="str">
        <f>IF('Main Flow Steps'!C97="","",'Main Flow Steps'!C97)</f>
        <v/>
      </c>
      <c r="D76" s="42" t="str">
        <f>IF('Main Flow Steps'!D97="","",SWITCH('Main Flow Steps'!D97,"Start","Bắt đầu","End","Kết thúc","User Action","Hành động người dùng","System Action","Hành động hệ thống","Optional User Action","Hành động tùy chọn của người dùng","Optional System Action","Hành động tùy chọn của hệ thống",'Main Flow Steps'!D97))</f>
        <v/>
      </c>
      <c r="E76" s="42" t="str">
        <f>IFERROR(__xludf.DUMMYFUNCTION("IF('Main Flow Steps'!E97="""","""",IFERROR(GOOGLETRANSLATE('Main Flow Steps'!E97,""en"",""vi""),'Main Flow Steps'!E97))"),"")</f>
        <v/>
      </c>
      <c r="F76" s="42" t="str">
        <f>IFERROR(__xludf.DUMMYFUNCTION("IF('Main Flow Steps'!F97="""","""",IFERROR(GOOGLETRANSLATE('Main Flow Steps'!F97,""en"",""vi""),'Main Flow Steps'!F97))"),"")</f>
        <v/>
      </c>
      <c r="G76" s="42" t="str">
        <f>IFERROR(__xludf.DUMMYFUNCTION("IF('Main Flow Steps'!G97="""","""",IFERROR(GOOGLETRANSLATE('Main Flow Steps'!G97,""en"",""vi""),'Main Flow Steps'!G97))"),"")</f>
        <v/>
      </c>
      <c r="H76" s="42" t="str">
        <f>IF('Main Flow Steps'!H97="","",'Main Flow Steps'!H97)</f>
        <v/>
      </c>
      <c r="I76" s="42" t="str">
        <f>IF('Main Flow Steps'!I97="","",'Main Flow Steps'!I97)</f>
        <v/>
      </c>
      <c r="J76" s="42" t="str">
        <f>IFERROR(__xludf.DUMMYFUNCTION("IF('Main Flow Steps'!J97="""","""",IFERROR(GOOGLETRANSLATE('Main Flow Steps'!J97,""en"",""vi""),'Main Flow Steps'!J97))"),"")</f>
        <v/>
      </c>
      <c r="K76" s="42" t="str">
        <f>IFERROR(__xludf.DUMMYFUNCTION("IF('Main Flow Steps'!K97="""","""",IFERROR(GOOGLETRANSLATE('Main Flow Steps'!K97,""en"",""vi""),'Main Flow Steps'!K97))"),"")</f>
        <v/>
      </c>
    </row>
    <row r="77">
      <c r="A77" s="42" t="str">
        <f>IF('Main Flow Steps'!A98="","",'Main Flow Steps'!A98)</f>
        <v/>
      </c>
      <c r="B77" s="42" t="str">
        <f>IFERROR(__xludf.DUMMYFUNCTION("IF('Main Flow Steps'!B98="""","""",IFERROR(GOOGLETRANSLATE('Main Flow Steps'!B98,""en"",""vi""),'Main Flow Steps'!B98))"),"")</f>
        <v/>
      </c>
      <c r="C77" s="42" t="str">
        <f>IF('Main Flow Steps'!C98="","",'Main Flow Steps'!C98)</f>
        <v/>
      </c>
      <c r="D77" s="42" t="str">
        <f>IF('Main Flow Steps'!D98="","",SWITCH('Main Flow Steps'!D98,"Start","Bắt đầu","End","Kết thúc","User Action","Hành động người dùng","System Action","Hành động hệ thống","Optional User Action","Hành động tùy chọn của người dùng","Optional System Action","Hành động tùy chọn của hệ thống",'Main Flow Steps'!D98))</f>
        <v/>
      </c>
      <c r="E77" s="42" t="str">
        <f>IFERROR(__xludf.DUMMYFUNCTION("IF('Main Flow Steps'!E98="""","""",IFERROR(GOOGLETRANSLATE('Main Flow Steps'!E98,""en"",""vi""),'Main Flow Steps'!E98))"),"")</f>
        <v/>
      </c>
      <c r="F77" s="42" t="str">
        <f>IFERROR(__xludf.DUMMYFUNCTION("IF('Main Flow Steps'!F98="""","""",IFERROR(GOOGLETRANSLATE('Main Flow Steps'!F98,""en"",""vi""),'Main Flow Steps'!F98))"),"")</f>
        <v/>
      </c>
      <c r="G77" s="42" t="str">
        <f>IFERROR(__xludf.DUMMYFUNCTION("IF('Main Flow Steps'!G98="""","""",IFERROR(GOOGLETRANSLATE('Main Flow Steps'!G98,""en"",""vi""),'Main Flow Steps'!G98))"),"")</f>
        <v/>
      </c>
      <c r="H77" s="42" t="str">
        <f>IF('Main Flow Steps'!H98="","",'Main Flow Steps'!H98)</f>
        <v/>
      </c>
      <c r="I77" s="42" t="str">
        <f>IF('Main Flow Steps'!I98="","",'Main Flow Steps'!I98)</f>
        <v/>
      </c>
      <c r="J77" s="42" t="str">
        <f>IFERROR(__xludf.DUMMYFUNCTION("IF('Main Flow Steps'!J98="""","""",IFERROR(GOOGLETRANSLATE('Main Flow Steps'!J98,""en"",""vi""),'Main Flow Steps'!J98))"),"")</f>
        <v/>
      </c>
      <c r="K77" s="42" t="str">
        <f>IFERROR(__xludf.DUMMYFUNCTION("IF('Main Flow Steps'!K98="""","""",IFERROR(GOOGLETRANSLATE('Main Flow Steps'!K98,""en"",""vi""),'Main Flow Steps'!K98))"),"")</f>
        <v/>
      </c>
    </row>
    <row r="78">
      <c r="A78" s="42" t="str">
        <f>IF('Main Flow Steps'!A99="","",'Main Flow Steps'!A99)</f>
        <v/>
      </c>
      <c r="B78" s="42" t="str">
        <f>IFERROR(__xludf.DUMMYFUNCTION("IF('Main Flow Steps'!B99="""","""",IFERROR(GOOGLETRANSLATE('Main Flow Steps'!B99,""en"",""vi""),'Main Flow Steps'!B99))"),"")</f>
        <v/>
      </c>
      <c r="C78" s="42" t="str">
        <f>IF('Main Flow Steps'!C99="","",'Main Flow Steps'!C99)</f>
        <v/>
      </c>
      <c r="D78" s="42" t="str">
        <f>IF('Main Flow Steps'!D99="","",SWITCH('Main Flow Steps'!D99,"Start","Bắt đầu","End","Kết thúc","User Action","Hành động người dùng","System Action","Hành động hệ thống","Optional User Action","Hành động tùy chọn của người dùng","Optional System Action","Hành động tùy chọn của hệ thống",'Main Flow Steps'!D99))</f>
        <v/>
      </c>
      <c r="E78" s="42" t="str">
        <f>IFERROR(__xludf.DUMMYFUNCTION("IF('Main Flow Steps'!E99="""","""",IFERROR(GOOGLETRANSLATE('Main Flow Steps'!E99,""en"",""vi""),'Main Flow Steps'!E99))"),"")</f>
        <v/>
      </c>
      <c r="F78" s="42" t="str">
        <f>IFERROR(__xludf.DUMMYFUNCTION("IF('Main Flow Steps'!F99="""","""",IFERROR(GOOGLETRANSLATE('Main Flow Steps'!F99,""en"",""vi""),'Main Flow Steps'!F99))"),"")</f>
        <v/>
      </c>
      <c r="G78" s="42" t="str">
        <f>IFERROR(__xludf.DUMMYFUNCTION("IF('Main Flow Steps'!G99="""","""",IFERROR(GOOGLETRANSLATE('Main Flow Steps'!G99,""en"",""vi""),'Main Flow Steps'!G99))"),"")</f>
        <v/>
      </c>
      <c r="H78" s="42" t="str">
        <f>IF('Main Flow Steps'!H99="","",'Main Flow Steps'!H99)</f>
        <v/>
      </c>
      <c r="I78" s="42" t="str">
        <f>IF('Main Flow Steps'!I99="","",'Main Flow Steps'!I99)</f>
        <v/>
      </c>
      <c r="J78" s="42" t="str">
        <f>IFERROR(__xludf.DUMMYFUNCTION("IF('Main Flow Steps'!J99="""","""",IFERROR(GOOGLETRANSLATE('Main Flow Steps'!J99,""en"",""vi""),'Main Flow Steps'!J99))"),"")</f>
        <v/>
      </c>
      <c r="K78" s="42" t="str">
        <f>IFERROR(__xludf.DUMMYFUNCTION("IF('Main Flow Steps'!K99="""","""",IFERROR(GOOGLETRANSLATE('Main Flow Steps'!K99,""en"",""vi""),'Main Flow Steps'!K99))"),"")</f>
        <v/>
      </c>
    </row>
    <row r="79">
      <c r="A79" s="42" t="str">
        <f>IF('Main Flow Steps'!A100="","",'Main Flow Steps'!A100)</f>
        <v>SF3</v>
      </c>
      <c r="B79" s="42" t="str">
        <f>IFERROR(__xludf.DUMMYFUNCTION("IF('Main Flow Steps'!B100="""","""",IFERROR(GOOGLETRANSLATE('Main Flow Steps'!B100,""en"",""vi""),'Main Flow Steps'!B100))"),"Quản lý gói đăng ký và quyền truy cập tính năng")</f>
        <v>Quản lý gói đăng ký và quyền truy cập tính năng</v>
      </c>
      <c r="C79" s="42">
        <f>IF('Main Flow Steps'!C100="","",'Main Flow Steps'!C100)</f>
        <v>1</v>
      </c>
      <c r="D79" s="42" t="str">
        <f>IF('Main Flow Steps'!D100="","",SWITCH('Main Flow Steps'!D100,"Start","Bắt đầu","End","Kết thúc","User Action","Hành động người dùng","System Action","Hành động hệ thống","Optional User Action","Hành động tùy chọn của người dùng","Optional System Action","Hành động tùy chọn của hệ thống",'Main Flow Steps'!D100))</f>
        <v>Bắt đầu</v>
      </c>
      <c r="E79" s="42" t="str">
        <f>IFERROR(__xludf.DUMMYFUNCTION("IF('Main Flow Steps'!E100="""","""",IFERROR(GOOGLETRANSLATE('Main Flow Steps'!E100,""en"",""vi""),'Main Flow Steps'!E100))"),"Quản lý gia đình")</f>
        <v>Quản lý gia đình</v>
      </c>
      <c r="F79" s="42" t="str">
        <f>IFERROR(__xludf.DUMMYFUNCTION("IF('Main Flow Steps'!F100="""","""",IFERROR(GOOGLETRANSLATE('Main Flow Steps'!F100,""en"",""vi""),'Main Flow Steps'!F100))"),"Mở màn hình đăng ký hiện tại và quyền truy cập tính năng.")</f>
        <v>Mở màn hình đăng ký hiện tại và quyền truy cập tính năng.</v>
      </c>
      <c r="G79" s="42" t="str">
        <f>IFERROR(__xludf.DUMMYFUNCTION("IF('Main Flow Steps'!G100="""","""",IFERROR(GOOGLETRANSLATE('Main Flow Steps'!G100,""en"",""vi""),'Main Flow Steps'!G100))"),"Hệ thống truy xuất gói cước hiện tại, trạng thái thanh toán hàng năm, giá hàng năm, ngày bắt đầu, ngày hết hạn, số ngày còn lại và các tính năng khả dụng/bị khóa.")</f>
        <v>Hệ thống truy xuất gói cước hiện tại, trạng thái thanh toán hàng năm, giá hàng năm, ngày bắt đầu, ngày hết hạn, số ngày còn lại và các tính năng khả dụng/bị khóa.</v>
      </c>
      <c r="H79" s="42" t="str">
        <f>IF('Main Flow Steps'!H100="","",'Main Flow Steps'!H100)</f>
        <v>UC76</v>
      </c>
      <c r="I79" s="42" t="str">
        <f>IF('Main Flow Steps'!I100="","",'Main Flow Steps'!I100)</f>
        <v>BR-SUB-01, BR-SUB-07, BR-SUB-08</v>
      </c>
      <c r="J79" s="42" t="str">
        <f>IFERROR(__xludf.DUMMYFUNCTION("IF('Main Flow Steps'!J100="""","""",IFERROR(GOOGLETRANSLATE('Main Flow Steps'!J100,""en"",""vi""),'Main Flow Steps'!J100))"),"Trạng thái đăng ký hàng năm hiện tại được hiển thị.")</f>
        <v>Trạng thái đăng ký hàng năm hiện tại được hiển thị.</v>
      </c>
      <c r="K79" s="42" t="str">
        <f>IFERROR(__xludf.DUMMYFUNCTION("IF('Main Flow Steps'!K100="""","""",IFERROR(GOOGLETRANSLATE('Main Flow Steps'!K100,""en"",""vi""),'Main Flow Steps'!K100))"),"Quyền truy cập tính năng quan trọng hơn số lượng thành viên.")</f>
        <v>Quyền truy cập tính năng quan trọng hơn số lượng thành viên.</v>
      </c>
    </row>
    <row r="80">
      <c r="A80" s="42" t="str">
        <f>IF('Main Flow Steps'!A101="","",'Main Flow Steps'!A101)</f>
        <v>SF3</v>
      </c>
      <c r="B80" s="42" t="str">
        <f>IFERROR(__xludf.DUMMYFUNCTION("IF('Main Flow Steps'!B101="""","""",IFERROR(GOOGLETRANSLATE('Main Flow Steps'!B101,""en"",""vi""),'Main Flow Steps'!B101))"),"Quản lý gói đăng ký và quyền truy cập tính năng")</f>
        <v>Quản lý gói đăng ký và quyền truy cập tính năng</v>
      </c>
      <c r="C80" s="42">
        <f>IF('Main Flow Steps'!C101="","",'Main Flow Steps'!C101)</f>
        <v>2</v>
      </c>
      <c r="D80" s="42" t="str">
        <f>IF('Main Flow Steps'!D101="","",SWITCH('Main Flow Steps'!D101,"Start","Bắt đầu","End","Kết thúc","User Action","Hành động người dùng","System Action","Hành động hệ thống","Optional User Action","Hành động tùy chọn của người dùng","Optional System Action","Hành động tùy chọn của hệ thống",'Main Flow Steps'!D101))</f>
        <v>Hành động hệ thống</v>
      </c>
      <c r="E80" s="42" t="str">
        <f>IFERROR(__xludf.DUMMYFUNCTION("IF('Main Flow Steps'!E101="""","""",IFERROR(GOOGLETRANSLATE('Main Flow Steps'!E101,""en"",""vi""),'Main Flow Steps'!E101))"),"Hệ thống")</f>
        <v>Hệ thống</v>
      </c>
      <c r="F80" s="42" t="str">
        <f>IFERROR(__xludf.DUMMYFUNCTION("IF('Main Flow Steps'!F101="""","""",IFERROR(GOOGLETRANSLATE('Main Flow Steps'!F101,""en"",""vi""),'Main Flow Steps'!F101))"),"Hiển thị bảng so sánh các gói Free, Plus Annual và Premium Annual.")</f>
        <v>Hiển thị bảng so sánh các gói Free, Plus Annual và Premium Annual.</v>
      </c>
      <c r="G80" s="42" t="str">
        <f>IFERROR(__xludf.DUMMYFUNCTION("IF('Main Flow Steps'!G101="""","""",IFERROR(GOOGLETRANSLATE('Main Flow Steps'!G101,""en"",""vi""),'Main Flow Steps'!G101))"),"Hệ thống hiển thị giá cả hàng năm và sự khác biệt trong báo cáo tài chính, phân tích chuyên sâu bằng trí tuệ nhân tạo, tính năng an toàn SOS, hỗ trợ thiết bị đeo được, album/lưu trữ và khả năng xuất dữ liệu.")</f>
        <v>Hệ thống hiển thị giá cả hàng năm và sự khác biệt trong báo cáo tài chính, phân tích chuyên sâu bằng trí tuệ nhân tạo, tính năng an toàn SOS, hỗ trợ thiết bị đeo được, album/lưu trữ và khả năng xuất dữ liệu.</v>
      </c>
      <c r="H80" s="42" t="str">
        <f>IF('Main Flow Steps'!H101="","",'Main Flow Steps'!H101)</f>
        <v>UC01, UC76</v>
      </c>
      <c r="I80" s="42" t="str">
        <f>IF('Main Flow Steps'!I101="","",'Main Flow Steps'!I101)</f>
        <v>BR-SUB-02, BR-SUB-03, BR-SUB-04, BR-SUB-08</v>
      </c>
      <c r="J80" s="42" t="str">
        <f>IFERROR(__xludf.DUMMYFUNCTION("IF('Main Flow Steps'!J101="""","""",IFERROR(GOOGLETRANSLATE('Main Flow Steps'!J101,""en"",""vi""),'Main Flow Steps'!J101))"),"Bảng kế hoạch hàng năm đã có sẵn.")</f>
        <v>Bảng kế hoạch hàng năm đã có sẵn.</v>
      </c>
      <c r="K80" s="42" t="str">
        <f>IFERROR(__xludf.DUMMYFUNCTION("IF('Main Flow Steps'!K101="""","""",IFERROR(GOOGLETRANSLATE('Main Flow Steps'!K101,""en"",""vi""),'Main Flow Steps'!K101))"),"Các gói dịch vụ được bán theo tính năng: Miễn phí = Cơ bản, Plus Hàng năm = Quản lý Gia đình, Premium Hàng năm = AI + An toàn.")</f>
        <v>Các gói dịch vụ được bán theo tính năng: Miễn phí = Cơ bản, Plus Hàng năm = Quản lý Gia đình, Premium Hàng năm = AI + An toàn.</v>
      </c>
    </row>
    <row r="81">
      <c r="A81" s="42" t="str">
        <f>IF('Main Flow Steps'!A102="","",'Main Flow Steps'!A102)</f>
        <v>SF3</v>
      </c>
      <c r="B81" s="42" t="str">
        <f>IFERROR(__xludf.DUMMYFUNCTION("IF('Main Flow Steps'!B102="""","""",IFERROR(GOOGLETRANSLATE('Main Flow Steps'!B102,""en"",""vi""),'Main Flow Steps'!B102))"),"Quản lý gói đăng ký và quyền truy cập tính năng")</f>
        <v>Quản lý gói đăng ký và quyền truy cập tính năng</v>
      </c>
      <c r="C81" s="42">
        <f>IF('Main Flow Steps'!C102="","",'Main Flow Steps'!C102)</f>
        <v>3</v>
      </c>
      <c r="D81" s="42" t="str">
        <f>IF('Main Flow Steps'!D102="","",SWITCH('Main Flow Steps'!D102,"Start","Bắt đầu","End","Kết thúc","User Action","Hành động người dùng","System Action","Hành động hệ thống","Optional User Action","Hành động tùy chọn của người dùng","Optional System Action","Hành động tùy chọn của hệ thống",'Main Flow Steps'!D102))</f>
        <v>Hành động người dùng</v>
      </c>
      <c r="E81" s="42" t="str">
        <f>IFERROR(__xludf.DUMMYFUNCTION("IF('Main Flow Steps'!E102="""","""",IFERROR(GOOGLETRANSLATE('Main Flow Steps'!E102,""en"",""vi""),'Main Flow Steps'!E102))"),"Quản lý gia đình")</f>
        <v>Quản lý gia đình</v>
      </c>
      <c r="F81" s="42" t="str">
        <f>IFERROR(__xludf.DUMMYFUNCTION("IF('Main Flow Steps'!F102="""","""",IFERROR(GOOGLETRANSLATE('Main Flow Steps'!F102,""en"",""vi""),'Main Flow Steps'!F102))"),"Chọn nâng cấp hoặc gia hạn hàng năm.")</f>
        <v>Chọn nâng cấp hoặc gia hạn hàng năm.</v>
      </c>
      <c r="G81" s="42" t="str">
        <f>IFERROR(__xludf.DUMMYFUNCTION("IF('Main Flow Steps'!G102="""","""",IFERROR(GOOGLETRANSLATE('Main Flow Steps'!G102,""en"",""vi""),'Main Flow Steps'!G102))"),"Hệ thống xác thực quyền Quản lý Gia đình và gói cước đã chọn. Nếu gói cước hiện tại là Plus và gói cước mục tiêu là Premium, hệ thống sẽ chuẩn bị bản xem trước nâng cấp theo tỷ lệ.")</f>
        <v>Hệ thống xác thực quyền Quản lý Gia đình và gói cước đã chọn. Nếu gói cước hiện tại là Plus và gói cước mục tiêu là Premium, hệ thống sẽ chuẩn bị bản xem trước nâng cấp theo tỷ lệ.</v>
      </c>
      <c r="H81" s="42" t="str">
        <f>IF('Main Flow Steps'!H102="","",'Main Flow Steps'!H102)</f>
        <v>UC77</v>
      </c>
      <c r="I81" s="42" t="str">
        <f>IF('Main Flow Steps'!I102="","",'Main Flow Steps'!I102)</f>
        <v>BR-SUB-06, BR-SUB-08, BR-SUB-09</v>
      </c>
      <c r="J81" s="42" t="str">
        <f>IFERROR(__xludf.DUMMYFUNCTION("IF('Main Flow Steps'!J102="""","""",IFERROR(GOOGLETRANSLATE('Main Flow Steps'!J102,""en"",""vi""),'Main Flow Steps'!J102))"),"Yêu cầu nâng cấp/gia hạn hoặc xem trước đã được tạo.")</f>
        <v>Yêu cầu nâng cấp/gia hạn hoặc xem trước đã được tạo.</v>
      </c>
      <c r="K81" s="42" t="str">
        <f>IFERROR(__xludf.DUMMYFUNCTION("IF('Main Flow Steps'!K102="""","""",IFERROR(GOOGLETRANSLATE('Main Flow Steps'!K102,""en"",""vi""),'Main Flow Steps'!K102))"),"Hiện tại, chỉ có Quản trị viên Gia đình mới được phép quản lý việc thanh toán phí đăng ký.")</f>
        <v>Hiện tại, chỉ có Quản trị viên Gia đình mới được phép quản lý việc thanh toán phí đăng ký.</v>
      </c>
    </row>
    <row r="82">
      <c r="A82" s="42" t="str">
        <f>IF('Main Flow Steps'!A103="","",'Main Flow Steps'!A103)</f>
        <v>SF3</v>
      </c>
      <c r="B82" s="42" t="str">
        <f>IFERROR(__xludf.DUMMYFUNCTION("IF('Main Flow Steps'!B103="""","""",IFERROR(GOOGLETRANSLATE('Main Flow Steps'!B103,""en"",""vi""),'Main Flow Steps'!B103))"),"Quản lý gói đăng ký và quyền truy cập tính năng")</f>
        <v>Quản lý gói đăng ký và quyền truy cập tính năng</v>
      </c>
      <c r="C82" s="42">
        <f>IF('Main Flow Steps'!C103="","",'Main Flow Steps'!C103)</f>
        <v>4</v>
      </c>
      <c r="D82" s="42" t="str">
        <f>IF('Main Flow Steps'!D103="","",SWITCH('Main Flow Steps'!D103,"Start","Bắt đầu","End","Kết thúc","User Action","Hành động người dùng","System Action","Hành động hệ thống","Optional User Action","Hành động tùy chọn của người dùng","Optional System Action","Hành động tùy chọn của hệ thống",'Main Flow Steps'!D103))</f>
        <v>System / External Action</v>
      </c>
      <c r="E82" s="42" t="str">
        <f>IFERROR(__xludf.DUMMYFUNCTION("IF('Main Flow Steps'!E103="""","""",IFERROR(GOOGLETRANSLATE('Main Flow Steps'!E103,""en"",""vi""),'Main Flow Steps'!E103))"),"Hệ thống / Cổng thanh toán")</f>
        <v>Hệ thống / Cổng thanh toán</v>
      </c>
      <c r="F82" s="42" t="str">
        <f>IFERROR(__xludf.DUMMYFUNCTION("IF('Main Flow Steps'!F103="""","""",IFERROR(GOOGLETRANSLATE('Main Flow Steps'!F103,""en"",""vi""),'Main Flow Steps'!F103))"),"Tiến hành thanh toán phí đăng ký hoặc mô phỏng thanh toán cho mục đích demo.")</f>
        <v>Tiến hành thanh toán phí đăng ký hoặc mô phỏng thanh toán cho mục đích demo.</v>
      </c>
      <c r="G82" s="42" t="str">
        <f>IFERROR(__xludf.DUMMYFUNCTION("IF('Main Flow Steps'!G103="""","""",IFERROR(GOOGLETRANSLATE('Main Flow Steps'!G103,""en"",""vi""),'Main Flow Steps'!G103))"),"Đối với việc nâng cấp từ gói Plus lên Premium, số tiền thanh toán là chênh lệch giá hàng năm được tính theo tỷ lệ dựa trên số ngày còn lại. Khoản thanh toán này không bao giờ được sử dụng cho Sổ quỹ gia đình, trợ cấp hoặc phần thưởng.")</f>
        <v>Đối với việc nâng cấp từ gói Plus lên Premium, số tiền thanh toán là chênh lệch giá hàng năm được tính theo tỷ lệ dựa trên số ngày còn lại. Khoản thanh toán này không bao giờ được sử dụng cho Sổ quỹ gia đình, trợ cấp hoặc phần thưởng.</v>
      </c>
      <c r="H82" s="42" t="str">
        <f>IF('Main Flow Steps'!H103="","",'Main Flow Steps'!H103)</f>
        <v>UC77</v>
      </c>
      <c r="I82" s="42" t="str">
        <f>IF('Main Flow Steps'!I103="","",'Main Flow Steps'!I103)</f>
        <v>BR-FIN-08, BR-SUB-06, BR-SUB-09</v>
      </c>
      <c r="J82" s="42" t="str">
        <f>IFERROR(__xludf.DUMMYFUNCTION("IF('Main Flow Steps'!J103="""","""",IFERROR(GOOGLETRANSLATE('Main Flow Steps'!J103,""en"",""vi""),'Main Flow Steps'!J103))"),"Giao dịch thanh toán đăng ký thành công/thất bại hoặc mô phỏng thanh toán thử nghiệm.")</f>
        <v>Giao dịch thanh toán đăng ký thành công/thất bại hoặc mô phỏng thanh toán thử nghiệm.</v>
      </c>
      <c r="K82" s="42" t="str">
        <f>IFERROR(__xludf.DUMMYFUNCTION("IF('Main Flow Steps'!K103="""","""",IFERROR(GOOGLETRANSLATE('Main Flow Steps'!K103,""en"",""vi""),'Main Flow Steps'!K103))"),"Điều này làm rõ ranh giới pháp lý giữa việc thanh toán phí đăng ký và hồ sơ tài chính gia đình.")</f>
        <v>Điều này làm rõ ranh giới pháp lý giữa việc thanh toán phí đăng ký và hồ sơ tài chính gia đình.</v>
      </c>
    </row>
    <row r="83">
      <c r="A83" s="42" t="str">
        <f>IF('Main Flow Steps'!A104="","",'Main Flow Steps'!A104)</f>
        <v>SF3</v>
      </c>
      <c r="B83" s="42" t="str">
        <f>IFERROR(__xludf.DUMMYFUNCTION("IF('Main Flow Steps'!B104="""","""",IFERROR(GOOGLETRANSLATE('Main Flow Steps'!B104,""en"",""vi""),'Main Flow Steps'!B104))"),"Quản lý gói đăng ký và quyền truy cập tính năng")</f>
        <v>Quản lý gói đăng ký và quyền truy cập tính năng</v>
      </c>
      <c r="C83" s="42">
        <f>IF('Main Flow Steps'!C104="","",'Main Flow Steps'!C104)</f>
        <v>5</v>
      </c>
      <c r="D83" s="42" t="str">
        <f>IF('Main Flow Steps'!D104="","",SWITCH('Main Flow Steps'!D104,"Start","Bắt đầu","End","Kết thúc","User Action","Hành động người dùng","System Action","Hành động hệ thống","Optional User Action","Hành động tùy chọn của người dùng","Optional System Action","Hành động tùy chọn của hệ thống",'Main Flow Steps'!D104))</f>
        <v>Hành động hệ thống</v>
      </c>
      <c r="E83" s="42" t="str">
        <f>IFERROR(__xludf.DUMMYFUNCTION("IF('Main Flow Steps'!E104="""","""",IFERROR(GOOGLETRANSLATE('Main Flow Steps'!E104,""en"",""vi""),'Main Flow Steps'!E104))"),"Hệ thống")</f>
        <v>Hệ thống</v>
      </c>
      <c r="F83" s="42" t="str">
        <f>IFERROR(__xludf.DUMMYFUNCTION("IF('Main Flow Steps'!F104="""","""",IFERROR(GOOGLETRANSLATE('Main Flow Steps'!F104,""en"",""vi""),'Main Flow Steps'!F104))"),"Cập nhật trạng thái đăng ký và mở khóa/khóa các tính năng theo gói đã chọn.")</f>
        <v>Cập nhật trạng thái đăng ký và mở khóa/khóa các tính năng theo gói đã chọn.</v>
      </c>
      <c r="G83" s="42" t="str">
        <f>IFERROR(__xludf.DUMMYFUNCTION("IF('Main Flow Steps'!G104="""","""",IFERROR(GOOGLETRANSLATE('Main Flow Steps'!G104,""en"",""vi""),'Main Flow Steps'!G104))"),"Sau khi thanh toán nâng cấp từ Plus lên Premium thành công, các tính năng Premium sẽ được kích hoạt ngay lập tức trong khi ngày hết hạn hiện tại vẫn không thay đổi.")</f>
        <v>Sau khi thanh toán nâng cấp từ Plus lên Premium thành công, các tính năng Premium sẽ được kích hoạt ngay lập tức trong khi ngày hết hạn hiện tại vẫn không thay đổi.</v>
      </c>
      <c r="H83" s="42" t="str">
        <f>IF('Main Flow Steps'!H104="","",'Main Flow Steps'!H104)</f>
        <v>UC76, UC77</v>
      </c>
      <c r="I83" s="42" t="str">
        <f>IF('Main Flow Steps'!I104="","",'Main Flow Steps'!I104)</f>
        <v>BR-SUB-02, BR-SUB-03, BR-SUB-04, BR-SUB-07, BR-SUB-10</v>
      </c>
      <c r="J83" s="42" t="str">
        <f>IFERROR(__xludf.DUMMYFUNCTION("IF('Main Flow Steps'!J104="""","""",IFERROR(GOOGLETRANSLATE('Main Flow Steps'!J104,""en"",""vi""),'Main Flow Steps'!J104))"),"Quyền truy cập tính năng gói cước đã được cập nhật.")</f>
        <v>Quyền truy cập tính năng gói cước đã được cập nhật.</v>
      </c>
      <c r="K83" s="42" t="str">
        <f>IFERROR(__xludf.DUMMYFUNCTION("IF('Main Flow Steps'!K104="""","""",IFERROR(GOOGLETRANSLATE('Main Flow Steps'!K104,""en"",""vi""),'Main Flow Steps'!K104))"),"Lần gia hạn tiếp theo sẽ sử dụng mức giá hàng năm của gói Premium.")</f>
        <v>Lần gia hạn tiếp theo sẽ sử dụng mức giá hàng năm của gói Premium.</v>
      </c>
    </row>
    <row r="84">
      <c r="A84" s="42" t="str">
        <f>IF('Main Flow Steps'!A105="","",'Main Flow Steps'!A105)</f>
        <v>SF3</v>
      </c>
      <c r="B84" s="42" t="str">
        <f>IFERROR(__xludf.DUMMYFUNCTION("IF('Main Flow Steps'!B105="""","""",IFERROR(GOOGLETRANSLATE('Main Flow Steps'!B105,""en"",""vi""),'Main Flow Steps'!B105))"),"Quản lý gói đăng ký và quyền truy cập tính năng")</f>
        <v>Quản lý gói đăng ký và quyền truy cập tính năng</v>
      </c>
      <c r="C84" s="42">
        <f>IF('Main Flow Steps'!C105="","",'Main Flow Steps'!C105)</f>
        <v>6</v>
      </c>
      <c r="D84" s="42" t="str">
        <f>IF('Main Flow Steps'!D105="","",SWITCH('Main Flow Steps'!D105,"Start","Bắt đầu","End","Kết thúc","User Action","Hành động người dùng","System Action","Hành động hệ thống","Optional User Action","Hành động tùy chọn của người dùng","Optional System Action","Hành động tùy chọn của hệ thống",'Main Flow Steps'!D105))</f>
        <v>Alternative / System Action</v>
      </c>
      <c r="E84" s="42" t="str">
        <f>IFERROR(__xludf.DUMMYFUNCTION("IF('Main Flow Steps'!E105="""","""",IFERROR(GOOGLETRANSLATE('Main Flow Steps'!E105,""en"",""vi""),'Main Flow Steps'!E105))"),"Hệ thống")</f>
        <v>Hệ thống</v>
      </c>
      <c r="F84" s="42" t="str">
        <f>IFERROR(__xludf.DUMMYFUNCTION("IF('Main Flow Steps'!F105="""","""",IFERROR(GOOGLETRANSLATE('Main Flow Steps'!F105,""en"",""vi""),'Main Flow Steps'!F105))"),"Xử lý việc hết hạn đăng ký hàng năm.")</f>
        <v>Xử lý việc hết hạn đăng ký hàng năm.</v>
      </c>
      <c r="G84" s="42" t="str">
        <f>IFERROR(__xludf.DUMMYFUNCTION("IF('Main Flow Steps'!G105="""","""",IFERROR(GOOGLETRANSLATE('Main Flow Steps'!G105,""en"",""vi""),'Main Flow Steps'!G105))"),"Hệ thống khóa các tính năng nâng cao nhưng vẫn cho phép xem dữ liệu gia đình hiện có theo quyền truy cập.")</f>
        <v>Hệ thống khóa các tính năng nâng cao nhưng vẫn cho phép xem dữ liệu gia đình hiện có theo quyền truy cập.</v>
      </c>
      <c r="H84" s="42" t="str">
        <f>IF('Main Flow Steps'!H105="","",'Main Flow Steps'!H105)</f>
        <v>UC78</v>
      </c>
      <c r="I84" s="42" t="str">
        <f>IF('Main Flow Steps'!I105="","",'Main Flow Steps'!I105)</f>
        <v>BR-SUB-05, BR-SUB-08</v>
      </c>
      <c r="J84" s="42" t="str">
        <f>IFERROR(__xludf.DUMMYFUNCTION("IF('Main Flow Steps'!J105="""","""",IFERROR(GOOGLETRANSLATE('Main Flow Steps'!J105,""en"",""vi""),'Main Flow Steps'!J105))"),"Không gian làm việc chuyển sang chế độ truy cập hạn chế.")</f>
        <v>Không gian làm việc chuyển sang chế độ truy cập hạn chế.</v>
      </c>
      <c r="K84" s="42" t="str">
        <f>IFERROR(__xludf.DUMMYFUNCTION("IF('Main Flow Steps'!K105="""","""",IFERROR(GOOGLETRANSLATE('Main Flow Steps'!K105,""en"",""vi""),'Main Flow Steps'!K105))"),"Không được xóa hoặc ẩn dữ liệu hiện có sau khi hết hạn.")</f>
        <v>Không được xóa hoặc ẩn dữ liệu hiện có sau khi hết hạn.</v>
      </c>
    </row>
    <row r="85">
      <c r="A85" s="42" t="str">
        <f>IF('Main Flow Steps'!A106="","",'Main Flow Steps'!A106)</f>
        <v>SF3</v>
      </c>
      <c r="B85" s="42" t="str">
        <f>IFERROR(__xludf.DUMMYFUNCTION("IF('Main Flow Steps'!B106="""","""",IFERROR(GOOGLETRANSLATE('Main Flow Steps'!B106,""en"",""vi""),'Main Flow Steps'!B106))"),"Quản lý gói đăng ký và quyền truy cập tính năng")</f>
        <v>Quản lý gói đăng ký và quyền truy cập tính năng</v>
      </c>
      <c r="C85" s="42">
        <f>IF('Main Flow Steps'!C106="","",'Main Flow Steps'!C106)</f>
        <v>7</v>
      </c>
      <c r="D85" s="42" t="str">
        <f>IF('Main Flow Steps'!D106="","",SWITCH('Main Flow Steps'!D106,"Start","Bắt đầu","End","Kết thúc","User Action","Hành động người dùng","System Action","Hành động hệ thống","Optional User Action","Hành động tùy chọn của người dùng","Optional System Action","Hành động tùy chọn của hệ thống",'Main Flow Steps'!D106))</f>
        <v>Kết thúc</v>
      </c>
      <c r="E85" s="42" t="str">
        <f>IFERROR(__xludf.DUMMYFUNCTION("IF('Main Flow Steps'!E106="""","""",IFERROR(GOOGLETRANSLATE('Main Flow Steps'!E106,""en"",""vi""),'Main Flow Steps'!E106))"),"Hệ thống")</f>
        <v>Hệ thống</v>
      </c>
      <c r="F85" s="42" t="str">
        <f>IFERROR(__xludf.DUMMYFUNCTION("IF('Main Flow Steps'!F106="""","""",IFERROR(GOOGLETRANSLATE('Main Flow Steps'!F106,""en"",""vi""),'Main Flow Steps'!F106))"),"Hiển thị gói cước đã cập nhật, trạng thái, số ngày còn lại và các tính năng khả dụng/bị khóa.")</f>
        <v>Hiển thị gói cước đã cập nhật, trạng thái, số ngày còn lại và các tính năng khả dụng/bị khóa.</v>
      </c>
      <c r="G85" s="42" t="str">
        <f>IFERROR(__xludf.DUMMYFUNCTION("IF('Main Flow Steps'!G106="""","""",IFERROR(GOOGLETRANSLATE('Main Flow Steps'!G106,""en"",""vi""),'Main Flow Steps'!G106))"),"Hệ thống duy trì trạng thái đăng ký hàng năm nhất quán với quyền truy cập tính năng trên các mô-đun.")</f>
        <v>Hệ thống duy trì trạng thái đăng ký hàng năm nhất quán với quyền truy cập tính năng trên các mô-đun.</v>
      </c>
      <c r="H85" s="42" t="str">
        <f>IF('Main Flow Steps'!H106="","",'Main Flow Steps'!H106)</f>
        <v>UC76-UC78</v>
      </c>
      <c r="I85" s="42" t="str">
        <f>IF('Main Flow Steps'!I106="","",'Main Flow Steps'!I106)</f>
        <v>BR-SUB-01, BR-SUB-05, BR-SUB-07, BR-SUB-10</v>
      </c>
      <c r="J85" s="42" t="str">
        <f>IFERROR(__xludf.DUMMYFUNCTION("IF('Main Flow Steps'!J106="""","""",IFERROR(GOOGLETRANSLATE('Main Flow Steps'!J106,""en"",""vi""),'Main Flow Steps'!J106))"),"Quy trình quản lý đăng ký đã hoàn tất.")</f>
        <v>Quy trình quản lý đăng ký đã hoàn tất.</v>
      </c>
      <c r="K85" s="42" t="str">
        <f>IFERROR(__xludf.DUMMYFUNCTION("IF('Main Flow Steps'!K106="""","""",IFERROR(GOOGLETRANSLATE('Main Flow Steps'!K106,""en"",""vi""),'Main Flow Steps'!K106))"),"Trạng thái cuối cùng: phí đăng ký hàng năm được tách biệt rõ ràng khỏi Sổ cái Quỹ Gia đình.")</f>
        <v>Trạng thái cuối cùng: phí đăng ký hàng năm được tách biệt rõ ràng khỏi Sổ cái Quỹ Gia đình.</v>
      </c>
    </row>
    <row r="86">
      <c r="A86" s="42" t="str">
        <f>IF('Main Flow Steps'!A107="","",'Main Flow Steps'!A107)</f>
        <v/>
      </c>
      <c r="B86" s="42" t="str">
        <f>IFERROR(__xludf.DUMMYFUNCTION("IF('Main Flow Steps'!B107="""","""",IFERROR(GOOGLETRANSLATE('Main Flow Steps'!B107,""en"",""vi""),'Main Flow Steps'!B107))"),"")</f>
        <v/>
      </c>
      <c r="C86" s="42" t="str">
        <f>IF('Main Flow Steps'!C107="","",'Main Flow Steps'!C107)</f>
        <v/>
      </c>
      <c r="D86" s="42" t="str">
        <f>IF('Main Flow Steps'!D107="","",SWITCH('Main Flow Steps'!D107,"Start","Bắt đầu","End","Kết thúc","User Action","Hành động người dùng","System Action","Hành động hệ thống","Optional User Action","Hành động tùy chọn của người dùng","Optional System Action","Hành động tùy chọn của hệ thống",'Main Flow Steps'!D107))</f>
        <v/>
      </c>
      <c r="E86" s="42" t="str">
        <f>IFERROR(__xludf.DUMMYFUNCTION("IF('Main Flow Steps'!E107="""","""",IFERROR(GOOGLETRANSLATE('Main Flow Steps'!E107,""en"",""vi""),'Main Flow Steps'!E107))"),"")</f>
        <v/>
      </c>
      <c r="F86" s="42" t="str">
        <f>IFERROR(__xludf.DUMMYFUNCTION("IF('Main Flow Steps'!F107="""","""",IFERROR(GOOGLETRANSLATE('Main Flow Steps'!F107,""en"",""vi""),'Main Flow Steps'!F107))"),"")</f>
        <v/>
      </c>
      <c r="G86" s="42" t="str">
        <f>IFERROR(__xludf.DUMMYFUNCTION("IF('Main Flow Steps'!G107="""","""",IFERROR(GOOGLETRANSLATE('Main Flow Steps'!G107,""en"",""vi""),'Main Flow Steps'!G107))"),"")</f>
        <v/>
      </c>
      <c r="H86" s="42" t="str">
        <f>IF('Main Flow Steps'!H107="","",'Main Flow Steps'!H107)</f>
        <v/>
      </c>
      <c r="I86" s="42" t="str">
        <f>IF('Main Flow Steps'!I107="","",'Main Flow Steps'!I107)</f>
        <v/>
      </c>
      <c r="J86" s="42" t="str">
        <f>IFERROR(__xludf.DUMMYFUNCTION("IF('Main Flow Steps'!J107="""","""",IFERROR(GOOGLETRANSLATE('Main Flow Steps'!J107,""en"",""vi""),'Main Flow Steps'!J107))"),"")</f>
        <v/>
      </c>
      <c r="K86" s="42" t="str">
        <f>IFERROR(__xludf.DUMMYFUNCTION("IF('Main Flow Steps'!K107="""","""",IFERROR(GOOGLETRANSLATE('Main Flow Steps'!K107,""en"",""vi""),'Main Flow Steps'!K107))"),"")</f>
        <v/>
      </c>
    </row>
    <row r="87">
      <c r="A87" s="42" t="str">
        <f>IF('Main Flow Steps'!A108="","",'Main Flow Steps'!A108)</f>
        <v/>
      </c>
      <c r="B87" s="42" t="str">
        <f>IFERROR(__xludf.DUMMYFUNCTION("IF('Main Flow Steps'!B108="""","""",IFERROR(GOOGLETRANSLATE('Main Flow Steps'!B108,""en"",""vi""),'Main Flow Steps'!B108))"),"")</f>
        <v/>
      </c>
      <c r="C87" s="42" t="str">
        <f>IF('Main Flow Steps'!C108="","",'Main Flow Steps'!C108)</f>
        <v/>
      </c>
      <c r="D87" s="42" t="str">
        <f>IF('Main Flow Steps'!D108="","",SWITCH('Main Flow Steps'!D108,"Start","Bắt đầu","End","Kết thúc","User Action","Hành động người dùng","System Action","Hành động hệ thống","Optional User Action","Hành động tùy chọn của người dùng","Optional System Action","Hành động tùy chọn của hệ thống",'Main Flow Steps'!D108))</f>
        <v/>
      </c>
      <c r="E87" s="42" t="str">
        <f>IFERROR(__xludf.DUMMYFUNCTION("IF('Main Flow Steps'!E108="""","""",IFERROR(GOOGLETRANSLATE('Main Flow Steps'!E108,""en"",""vi""),'Main Flow Steps'!E108))"),"")</f>
        <v/>
      </c>
      <c r="F87" s="42" t="str">
        <f>IFERROR(__xludf.DUMMYFUNCTION("IF('Main Flow Steps'!F108="""","""",IFERROR(GOOGLETRANSLATE('Main Flow Steps'!F108,""en"",""vi""),'Main Flow Steps'!F108))"),"")</f>
        <v/>
      </c>
      <c r="G87" s="42" t="str">
        <f>IFERROR(__xludf.DUMMYFUNCTION("IF('Main Flow Steps'!G108="""","""",IFERROR(GOOGLETRANSLATE('Main Flow Steps'!G108,""en"",""vi""),'Main Flow Steps'!G108))"),"")</f>
        <v/>
      </c>
      <c r="H87" s="42" t="str">
        <f>IF('Main Flow Steps'!H108="","",'Main Flow Steps'!H108)</f>
        <v/>
      </c>
      <c r="I87" s="42" t="str">
        <f>IF('Main Flow Steps'!I108="","",'Main Flow Steps'!I108)</f>
        <v/>
      </c>
      <c r="J87" s="42" t="str">
        <f>IFERROR(__xludf.DUMMYFUNCTION("IF('Main Flow Steps'!J108="""","""",IFERROR(GOOGLETRANSLATE('Main Flow Steps'!J108,""en"",""vi""),'Main Flow Steps'!J108))"),"")</f>
        <v/>
      </c>
      <c r="K87" s="42" t="str">
        <f>IFERROR(__xludf.DUMMYFUNCTION("IF('Main Flow Steps'!K108="""","""",IFERROR(GOOGLETRANSLATE('Main Flow Steps'!K108,""en"",""vi""),'Main Flow Steps'!K108))"),"")</f>
        <v/>
      </c>
    </row>
    <row r="88">
      <c r="A88" s="42" t="str">
        <f>IF('Main Flow Steps'!A109="","",'Main Flow Steps'!A109)</f>
        <v/>
      </c>
      <c r="B88" s="42" t="str">
        <f>IFERROR(__xludf.DUMMYFUNCTION("IF('Main Flow Steps'!B109="""","""",IFERROR(GOOGLETRANSLATE('Main Flow Steps'!B109,""en"",""vi""),'Main Flow Steps'!B109))"),"")</f>
        <v/>
      </c>
      <c r="C88" s="42" t="str">
        <f>IF('Main Flow Steps'!C109="","",'Main Flow Steps'!C109)</f>
        <v/>
      </c>
      <c r="D88" s="42" t="str">
        <f>IF('Main Flow Steps'!D109="","",SWITCH('Main Flow Steps'!D109,"Start","Bắt đầu","End","Kết thúc","User Action","Hành động người dùng","System Action","Hành động hệ thống","Optional User Action","Hành động tùy chọn của người dùng","Optional System Action","Hành động tùy chọn của hệ thống",'Main Flow Steps'!D109))</f>
        <v/>
      </c>
      <c r="E88" s="42" t="str">
        <f>IFERROR(__xludf.DUMMYFUNCTION("IF('Main Flow Steps'!E109="""","""",IFERROR(GOOGLETRANSLATE('Main Flow Steps'!E109,""en"",""vi""),'Main Flow Steps'!E109))"),"")</f>
        <v/>
      </c>
      <c r="F88" s="42" t="str">
        <f>IFERROR(__xludf.DUMMYFUNCTION("IF('Main Flow Steps'!F109="""","""",IFERROR(GOOGLETRANSLATE('Main Flow Steps'!F109,""en"",""vi""),'Main Flow Steps'!F109))"),"")</f>
        <v/>
      </c>
      <c r="G88" s="42" t="str">
        <f>IFERROR(__xludf.DUMMYFUNCTION("IF('Main Flow Steps'!G109="""","""",IFERROR(GOOGLETRANSLATE('Main Flow Steps'!G109,""en"",""vi""),'Main Flow Steps'!G109))"),"")</f>
        <v/>
      </c>
      <c r="H88" s="42" t="str">
        <f>IF('Main Flow Steps'!H109="","",'Main Flow Steps'!H109)</f>
        <v/>
      </c>
      <c r="I88" s="42" t="str">
        <f>IF('Main Flow Steps'!I109="","",'Main Flow Steps'!I109)</f>
        <v/>
      </c>
      <c r="J88" s="42" t="str">
        <f>IFERROR(__xludf.DUMMYFUNCTION("IF('Main Flow Steps'!J109="""","""",IFERROR(GOOGLETRANSLATE('Main Flow Steps'!J109,""en"",""vi""),'Main Flow Steps'!J109))"),"")</f>
        <v/>
      </c>
      <c r="K88" s="42" t="str">
        <f>IFERROR(__xludf.DUMMYFUNCTION("IF('Main Flow Steps'!K109="""","""",IFERROR(GOOGLETRANSLATE('Main Flow Steps'!K109,""en"",""vi""),'Main Flow Steps'!K109))"),"")</f>
        <v/>
      </c>
    </row>
    <row r="89">
      <c r="A89" s="42" t="str">
        <f>IF('Main Flow Steps'!A110="","",'Main Flow Steps'!A110)</f>
        <v/>
      </c>
      <c r="B89" s="42" t="str">
        <f>IFERROR(__xludf.DUMMYFUNCTION("IF('Main Flow Steps'!B110="""","""",IFERROR(GOOGLETRANSLATE('Main Flow Steps'!B110,""en"",""vi""),'Main Flow Steps'!B110))"),"")</f>
        <v/>
      </c>
      <c r="C89" s="42" t="str">
        <f>IF('Main Flow Steps'!C110="","",'Main Flow Steps'!C110)</f>
        <v/>
      </c>
      <c r="D89" s="42" t="str">
        <f>IF('Main Flow Steps'!D110="","",SWITCH('Main Flow Steps'!D110,"Start","Bắt đầu","End","Kết thúc","User Action","Hành động người dùng","System Action","Hành động hệ thống","Optional User Action","Hành động tùy chọn của người dùng","Optional System Action","Hành động tùy chọn của hệ thống",'Main Flow Steps'!D110))</f>
        <v/>
      </c>
      <c r="E89" s="42" t="str">
        <f>IFERROR(__xludf.DUMMYFUNCTION("IF('Main Flow Steps'!E110="""","""",IFERROR(GOOGLETRANSLATE('Main Flow Steps'!E110,""en"",""vi""),'Main Flow Steps'!E110))"),"")</f>
        <v/>
      </c>
      <c r="F89" s="42" t="str">
        <f>IFERROR(__xludf.DUMMYFUNCTION("IF('Main Flow Steps'!F110="""","""",IFERROR(GOOGLETRANSLATE('Main Flow Steps'!F110,""en"",""vi""),'Main Flow Steps'!F110))"),"")</f>
        <v/>
      </c>
      <c r="G89" s="42" t="str">
        <f>IFERROR(__xludf.DUMMYFUNCTION("IF('Main Flow Steps'!G110="""","""",IFERROR(GOOGLETRANSLATE('Main Flow Steps'!G110,""en"",""vi""),'Main Flow Steps'!G110))"),"")</f>
        <v/>
      </c>
      <c r="H89" s="42" t="str">
        <f>IF('Main Flow Steps'!H110="","",'Main Flow Steps'!H110)</f>
        <v/>
      </c>
      <c r="I89" s="42" t="str">
        <f>IF('Main Flow Steps'!I110="","",'Main Flow Steps'!I110)</f>
        <v/>
      </c>
      <c r="J89" s="42" t="str">
        <f>IFERROR(__xludf.DUMMYFUNCTION("IF('Main Flow Steps'!J110="""","""",IFERROR(GOOGLETRANSLATE('Main Flow Steps'!J110,""en"",""vi""),'Main Flow Steps'!J110))"),"")</f>
        <v/>
      </c>
      <c r="K89" s="42" t="str">
        <f>IFERROR(__xludf.DUMMYFUNCTION("IF('Main Flow Steps'!K110="""","""",IFERROR(GOOGLETRANSLATE('Main Flow Steps'!K110,""en"",""vi""),'Main Flow Steps'!K110))"),"")</f>
        <v/>
      </c>
    </row>
    <row r="90">
      <c r="A90" s="42" t="str">
        <f>IF('Main Flow Steps'!A111="","",'Main Flow Steps'!A111)</f>
        <v/>
      </c>
      <c r="B90" s="42" t="str">
        <f>IFERROR(__xludf.DUMMYFUNCTION("IF('Main Flow Steps'!B111="""","""",IFERROR(GOOGLETRANSLATE('Main Flow Steps'!B111,""en"",""vi""),'Main Flow Steps'!B111))"),"")</f>
        <v/>
      </c>
      <c r="C90" s="42" t="str">
        <f>IF('Main Flow Steps'!C111="","",'Main Flow Steps'!C111)</f>
        <v/>
      </c>
      <c r="D90" s="42" t="str">
        <f>IF('Main Flow Steps'!D111="","",SWITCH('Main Flow Steps'!D111,"Start","Bắt đầu","End","Kết thúc","User Action","Hành động người dùng","System Action","Hành động hệ thống","Optional User Action","Hành động tùy chọn của người dùng","Optional System Action","Hành động tùy chọn của hệ thống",'Main Flow Steps'!D111))</f>
        <v/>
      </c>
      <c r="E90" s="42" t="str">
        <f>IFERROR(__xludf.DUMMYFUNCTION("IF('Main Flow Steps'!E111="""","""",IFERROR(GOOGLETRANSLATE('Main Flow Steps'!E111,""en"",""vi""),'Main Flow Steps'!E111))"),"")</f>
        <v/>
      </c>
      <c r="F90" s="42" t="str">
        <f>IFERROR(__xludf.DUMMYFUNCTION("IF('Main Flow Steps'!F111="""","""",IFERROR(GOOGLETRANSLATE('Main Flow Steps'!F111,""en"",""vi""),'Main Flow Steps'!F111))"),"")</f>
        <v/>
      </c>
      <c r="G90" s="42" t="str">
        <f>IFERROR(__xludf.DUMMYFUNCTION("IF('Main Flow Steps'!G111="""","""",IFERROR(GOOGLETRANSLATE('Main Flow Steps'!G111,""en"",""vi""),'Main Flow Steps'!G111))"),"")</f>
        <v/>
      </c>
      <c r="H90" s="42" t="str">
        <f>IF('Main Flow Steps'!H111="","",'Main Flow Steps'!H111)</f>
        <v/>
      </c>
      <c r="I90" s="42" t="str">
        <f>IF('Main Flow Steps'!I111="","",'Main Flow Steps'!I111)</f>
        <v/>
      </c>
      <c r="J90" s="42" t="str">
        <f>IFERROR(__xludf.DUMMYFUNCTION("IF('Main Flow Steps'!J111="""","""",IFERROR(GOOGLETRANSLATE('Main Flow Steps'!J111,""en"",""vi""),'Main Flow Steps'!J111))"),"")</f>
        <v/>
      </c>
      <c r="K90" s="42" t="str">
        <f>IFERROR(__xludf.DUMMYFUNCTION("IF('Main Flow Steps'!K111="""","""",IFERROR(GOOGLETRANSLATE('Main Flow Steps'!K111,""en"",""vi""),'Main Flow Steps'!K111))"),"")</f>
        <v/>
      </c>
    </row>
    <row r="91">
      <c r="A91" s="42" t="str">
        <f>IF('Main Flow Steps'!A112="","",'Main Flow Steps'!A112)</f>
        <v/>
      </c>
      <c r="B91" s="42" t="str">
        <f>IFERROR(__xludf.DUMMYFUNCTION("IF('Main Flow Steps'!B112="""","""",IFERROR(GOOGLETRANSLATE('Main Flow Steps'!B112,""en"",""vi""),'Main Flow Steps'!B112))"),"")</f>
        <v/>
      </c>
      <c r="C91" s="42" t="str">
        <f>IF('Main Flow Steps'!C112="","",'Main Flow Steps'!C112)</f>
        <v/>
      </c>
      <c r="D91" s="42" t="str">
        <f>IF('Main Flow Steps'!D112="","",SWITCH('Main Flow Steps'!D112,"Start","Bắt đầu","End","Kết thúc","User Action","Hành động người dùng","System Action","Hành động hệ thống","Optional User Action","Hành động tùy chọn của người dùng","Optional System Action","Hành động tùy chọn của hệ thống",'Main Flow Steps'!D112))</f>
        <v/>
      </c>
      <c r="E91" s="42" t="str">
        <f>IFERROR(__xludf.DUMMYFUNCTION("IF('Main Flow Steps'!E112="""","""",IFERROR(GOOGLETRANSLATE('Main Flow Steps'!E112,""en"",""vi""),'Main Flow Steps'!E112))"),"")</f>
        <v/>
      </c>
      <c r="F91" s="42" t="str">
        <f>IFERROR(__xludf.DUMMYFUNCTION("IF('Main Flow Steps'!F112="""","""",IFERROR(GOOGLETRANSLATE('Main Flow Steps'!F112,""en"",""vi""),'Main Flow Steps'!F112))"),"")</f>
        <v/>
      </c>
      <c r="G91" s="42" t="str">
        <f>IFERROR(__xludf.DUMMYFUNCTION("IF('Main Flow Steps'!G112="""","""",IFERROR(GOOGLETRANSLATE('Main Flow Steps'!G112,""en"",""vi""),'Main Flow Steps'!G112))"),"")</f>
        <v/>
      </c>
      <c r="H91" s="42" t="str">
        <f>IF('Main Flow Steps'!H112="","",'Main Flow Steps'!H112)</f>
        <v/>
      </c>
      <c r="I91" s="42" t="str">
        <f>IF('Main Flow Steps'!I112="","",'Main Flow Steps'!I112)</f>
        <v/>
      </c>
      <c r="J91" s="42" t="str">
        <f>IFERROR(__xludf.DUMMYFUNCTION("IF('Main Flow Steps'!J112="""","""",IFERROR(GOOGLETRANSLATE('Main Flow Steps'!J112,""en"",""vi""),'Main Flow Steps'!J112))"),"")</f>
        <v/>
      </c>
      <c r="K91" s="42" t="str">
        <f>IFERROR(__xludf.DUMMYFUNCTION("IF('Main Flow Steps'!K112="""","""",IFERROR(GOOGLETRANSLATE('Main Flow Steps'!K112,""en"",""vi""),'Main Flow Steps'!K112))"),"")</f>
        <v/>
      </c>
    </row>
    <row r="92">
      <c r="A92" s="42" t="str">
        <f>IF('Main Flow Steps'!A113="","",'Main Flow Steps'!A113)</f>
        <v/>
      </c>
      <c r="B92" s="42" t="str">
        <f>IFERROR(__xludf.DUMMYFUNCTION("IF('Main Flow Steps'!B113="""","""",IFERROR(GOOGLETRANSLATE('Main Flow Steps'!B113,""en"",""vi""),'Main Flow Steps'!B113))"),"")</f>
        <v/>
      </c>
      <c r="C92" s="42" t="str">
        <f>IF('Main Flow Steps'!C113="","",'Main Flow Steps'!C113)</f>
        <v/>
      </c>
      <c r="D92" s="42" t="str">
        <f>IF('Main Flow Steps'!D113="","",SWITCH('Main Flow Steps'!D113,"Start","Bắt đầu","End","Kết thúc","User Action","Hành động người dùng","System Action","Hành động hệ thống","Optional User Action","Hành động tùy chọn của người dùng","Optional System Action","Hành động tùy chọn của hệ thống",'Main Flow Steps'!D113))</f>
        <v/>
      </c>
      <c r="E92" s="42" t="str">
        <f>IFERROR(__xludf.DUMMYFUNCTION("IF('Main Flow Steps'!E113="""","""",IFERROR(GOOGLETRANSLATE('Main Flow Steps'!E113,""en"",""vi""),'Main Flow Steps'!E113))"),"")</f>
        <v/>
      </c>
      <c r="F92" s="42" t="str">
        <f>IFERROR(__xludf.DUMMYFUNCTION("IF('Main Flow Steps'!F113="""","""",IFERROR(GOOGLETRANSLATE('Main Flow Steps'!F113,""en"",""vi""),'Main Flow Steps'!F113))"),"")</f>
        <v/>
      </c>
      <c r="G92" s="42" t="str">
        <f>IFERROR(__xludf.DUMMYFUNCTION("IF('Main Flow Steps'!G113="""","""",IFERROR(GOOGLETRANSLATE('Main Flow Steps'!G113,""en"",""vi""),'Main Flow Steps'!G113))"),"")</f>
        <v/>
      </c>
      <c r="H92" s="42" t="str">
        <f>IF('Main Flow Steps'!H113="","",'Main Flow Steps'!H113)</f>
        <v/>
      </c>
      <c r="I92" s="42" t="str">
        <f>IF('Main Flow Steps'!I113="","",'Main Flow Steps'!I113)</f>
        <v/>
      </c>
      <c r="J92" s="42" t="str">
        <f>IFERROR(__xludf.DUMMYFUNCTION("IF('Main Flow Steps'!J113="""","""",IFERROR(GOOGLETRANSLATE('Main Flow Steps'!J113,""en"",""vi""),'Main Flow Steps'!J113))"),"")</f>
        <v/>
      </c>
      <c r="K92" s="42" t="str">
        <f>IFERROR(__xludf.DUMMYFUNCTION("IF('Main Flow Steps'!K113="""","""",IFERROR(GOOGLETRANSLATE('Main Flow Steps'!K113,""en"",""vi""),'Main Flow Steps'!K113))"),"")</f>
        <v/>
      </c>
    </row>
    <row r="93">
      <c r="A93" s="42" t="str">
        <f>IF('Main Flow Steps'!A114="","",'Main Flow Steps'!A114)</f>
        <v/>
      </c>
      <c r="B93" s="42" t="str">
        <f>IFERROR(__xludf.DUMMYFUNCTION("IF('Main Flow Steps'!B114="""","""",IFERROR(GOOGLETRANSLATE('Main Flow Steps'!B114,""en"",""vi""),'Main Flow Steps'!B114))"),"")</f>
        <v/>
      </c>
      <c r="C93" s="42" t="str">
        <f>IF('Main Flow Steps'!C114="","",'Main Flow Steps'!C114)</f>
        <v/>
      </c>
      <c r="D93" s="42" t="str">
        <f>IF('Main Flow Steps'!D114="","",SWITCH('Main Flow Steps'!D114,"Start","Bắt đầu","End","Kết thúc","User Action","Hành động người dùng","System Action","Hành động hệ thống","Optional User Action","Hành động tùy chọn của người dùng","Optional System Action","Hành động tùy chọn của hệ thống",'Main Flow Steps'!D114))</f>
        <v/>
      </c>
      <c r="E93" s="42" t="str">
        <f>IFERROR(__xludf.DUMMYFUNCTION("IF('Main Flow Steps'!E114="""","""",IFERROR(GOOGLETRANSLATE('Main Flow Steps'!E114,""en"",""vi""),'Main Flow Steps'!E114))"),"")</f>
        <v/>
      </c>
      <c r="F93" s="42" t="str">
        <f>IFERROR(__xludf.DUMMYFUNCTION("IF('Main Flow Steps'!F114="""","""",IFERROR(GOOGLETRANSLATE('Main Flow Steps'!F114,""en"",""vi""),'Main Flow Steps'!F114))"),"")</f>
        <v/>
      </c>
      <c r="G93" s="42" t="str">
        <f>IFERROR(__xludf.DUMMYFUNCTION("IF('Main Flow Steps'!G114="""","""",IFERROR(GOOGLETRANSLATE('Main Flow Steps'!G114,""en"",""vi""),'Main Flow Steps'!G114))"),"")</f>
        <v/>
      </c>
      <c r="H93" s="42" t="str">
        <f>IF('Main Flow Steps'!H114="","",'Main Flow Steps'!H114)</f>
        <v/>
      </c>
      <c r="I93" s="42" t="str">
        <f>IF('Main Flow Steps'!I114="","",'Main Flow Steps'!I114)</f>
        <v/>
      </c>
      <c r="J93" s="42" t="str">
        <f>IFERROR(__xludf.DUMMYFUNCTION("IF('Main Flow Steps'!J114="""","""",IFERROR(GOOGLETRANSLATE('Main Flow Steps'!J114,""en"",""vi""),'Main Flow Steps'!J114))"),"")</f>
        <v/>
      </c>
      <c r="K93" s="42" t="str">
        <f>IFERROR(__xludf.DUMMYFUNCTION("IF('Main Flow Steps'!K114="""","""",IFERROR(GOOGLETRANSLATE('Main Flow Steps'!K114,""en"",""vi""),'Main Flow Steps'!K114))"),"")</f>
        <v/>
      </c>
    </row>
    <row r="94">
      <c r="A94" s="42" t="str">
        <f>IF('Main Flow Steps'!A115="","",'Main Flow Steps'!A115)</f>
        <v/>
      </c>
      <c r="B94" s="42" t="str">
        <f>IFERROR(__xludf.DUMMYFUNCTION("IF('Main Flow Steps'!B115="""","""",IFERROR(GOOGLETRANSLATE('Main Flow Steps'!B115,""en"",""vi""),'Main Flow Steps'!B115))"),"")</f>
        <v/>
      </c>
      <c r="C94" s="42" t="str">
        <f>IF('Main Flow Steps'!C115="","",'Main Flow Steps'!C115)</f>
        <v/>
      </c>
      <c r="D94" s="42" t="str">
        <f>IF('Main Flow Steps'!D115="","",SWITCH('Main Flow Steps'!D115,"Start","Bắt đầu","End","Kết thúc","User Action","Hành động người dùng","System Action","Hành động hệ thống","Optional User Action","Hành động tùy chọn của người dùng","Optional System Action","Hành động tùy chọn của hệ thống",'Main Flow Steps'!D115))</f>
        <v/>
      </c>
      <c r="E94" s="42" t="str">
        <f>IFERROR(__xludf.DUMMYFUNCTION("IF('Main Flow Steps'!E115="""","""",IFERROR(GOOGLETRANSLATE('Main Flow Steps'!E115,""en"",""vi""),'Main Flow Steps'!E115))"),"")</f>
        <v/>
      </c>
      <c r="F94" s="42" t="str">
        <f>IFERROR(__xludf.DUMMYFUNCTION("IF('Main Flow Steps'!F115="""","""",IFERROR(GOOGLETRANSLATE('Main Flow Steps'!F115,""en"",""vi""),'Main Flow Steps'!F115))"),"")</f>
        <v/>
      </c>
      <c r="G94" s="42" t="str">
        <f>IFERROR(__xludf.DUMMYFUNCTION("IF('Main Flow Steps'!G115="""","""",IFERROR(GOOGLETRANSLATE('Main Flow Steps'!G115,""en"",""vi""),'Main Flow Steps'!G115))"),"")</f>
        <v/>
      </c>
      <c r="H94" s="42" t="str">
        <f>IF('Main Flow Steps'!H115="","",'Main Flow Steps'!H115)</f>
        <v/>
      </c>
      <c r="I94" s="42" t="str">
        <f>IF('Main Flow Steps'!I115="","",'Main Flow Steps'!I115)</f>
        <v/>
      </c>
      <c r="J94" s="42" t="str">
        <f>IFERROR(__xludf.DUMMYFUNCTION("IF('Main Flow Steps'!J115="""","""",IFERROR(GOOGLETRANSLATE('Main Flow Steps'!J115,""en"",""vi""),'Main Flow Steps'!J115))"),"")</f>
        <v/>
      </c>
      <c r="K94" s="42" t="str">
        <f>IFERROR(__xludf.DUMMYFUNCTION("IF('Main Flow Steps'!K115="""","""",IFERROR(GOOGLETRANSLATE('Main Flow Steps'!K115,""en"",""vi""),'Main Flow Steps'!K115))"),"")</f>
        <v/>
      </c>
    </row>
    <row r="95">
      <c r="A95" s="42" t="str">
        <f>IF('Main Flow Steps'!A116="","",'Main Flow Steps'!A116)</f>
        <v/>
      </c>
      <c r="B95" s="42" t="str">
        <f>IFERROR(__xludf.DUMMYFUNCTION("IF('Main Flow Steps'!B116="""","""",IFERROR(GOOGLETRANSLATE('Main Flow Steps'!B116,""en"",""vi""),'Main Flow Steps'!B116))"),"")</f>
        <v/>
      </c>
      <c r="C95" s="42" t="str">
        <f>IF('Main Flow Steps'!C116="","",'Main Flow Steps'!C116)</f>
        <v/>
      </c>
      <c r="D95" s="42" t="str">
        <f>IF('Main Flow Steps'!D116="","",SWITCH('Main Flow Steps'!D116,"Start","Bắt đầu","End","Kết thúc","User Action","Hành động người dùng","System Action","Hành động hệ thống","Optional User Action","Hành động tùy chọn của người dùng","Optional System Action","Hành động tùy chọn của hệ thống",'Main Flow Steps'!D116))</f>
        <v/>
      </c>
      <c r="E95" s="42" t="str">
        <f>IFERROR(__xludf.DUMMYFUNCTION("IF('Main Flow Steps'!E116="""","""",IFERROR(GOOGLETRANSLATE('Main Flow Steps'!E116,""en"",""vi""),'Main Flow Steps'!E116))"),"")</f>
        <v/>
      </c>
      <c r="F95" s="42" t="str">
        <f>IFERROR(__xludf.DUMMYFUNCTION("IF('Main Flow Steps'!F116="""","""",IFERROR(GOOGLETRANSLATE('Main Flow Steps'!F116,""en"",""vi""),'Main Flow Steps'!F116))"),"")</f>
        <v/>
      </c>
      <c r="G95" s="42" t="str">
        <f>IFERROR(__xludf.DUMMYFUNCTION("IF('Main Flow Steps'!G116="""","""",IFERROR(GOOGLETRANSLATE('Main Flow Steps'!G116,""en"",""vi""),'Main Flow Steps'!G116))"),"")</f>
        <v/>
      </c>
      <c r="H95" s="42" t="str">
        <f>IF('Main Flow Steps'!H116="","",'Main Flow Steps'!H116)</f>
        <v/>
      </c>
      <c r="I95" s="42" t="str">
        <f>IF('Main Flow Steps'!I116="","",'Main Flow Steps'!I116)</f>
        <v/>
      </c>
      <c r="J95" s="42" t="str">
        <f>IFERROR(__xludf.DUMMYFUNCTION("IF('Main Flow Steps'!J116="""","""",IFERROR(GOOGLETRANSLATE('Main Flow Steps'!J116,""en"",""vi""),'Main Flow Steps'!J116))"),"")</f>
        <v/>
      </c>
      <c r="K95" s="42" t="str">
        <f>IFERROR(__xludf.DUMMYFUNCTION("IF('Main Flow Steps'!K116="""","""",IFERROR(GOOGLETRANSLATE('Main Flow Steps'!K116,""en"",""vi""),'Main Flow Steps'!K116))"),"")</f>
        <v/>
      </c>
    </row>
    <row r="96">
      <c r="A96" s="42" t="str">
        <f>IF('Main Flow Steps'!A117="","",'Main Flow Steps'!A117)</f>
        <v/>
      </c>
      <c r="B96" s="42" t="str">
        <f>IFERROR(__xludf.DUMMYFUNCTION("IF('Main Flow Steps'!B117="""","""",IFERROR(GOOGLETRANSLATE('Main Flow Steps'!B117,""en"",""vi""),'Main Flow Steps'!B117))"),"")</f>
        <v/>
      </c>
      <c r="C96" s="42" t="str">
        <f>IF('Main Flow Steps'!C117="","",'Main Flow Steps'!C117)</f>
        <v/>
      </c>
      <c r="D96" s="42" t="str">
        <f>IF('Main Flow Steps'!D117="","",SWITCH('Main Flow Steps'!D117,"Start","Bắt đầu","End","Kết thúc","User Action","Hành động người dùng","System Action","Hành động hệ thống","Optional User Action","Hành động tùy chọn của người dùng","Optional System Action","Hành động tùy chọn của hệ thống",'Main Flow Steps'!D117))</f>
        <v/>
      </c>
      <c r="E96" s="42" t="str">
        <f>IFERROR(__xludf.DUMMYFUNCTION("IF('Main Flow Steps'!E117="""","""",IFERROR(GOOGLETRANSLATE('Main Flow Steps'!E117,""en"",""vi""),'Main Flow Steps'!E117))"),"")</f>
        <v/>
      </c>
      <c r="F96" s="42" t="str">
        <f>IFERROR(__xludf.DUMMYFUNCTION("IF('Main Flow Steps'!F117="""","""",IFERROR(GOOGLETRANSLATE('Main Flow Steps'!F117,""en"",""vi""),'Main Flow Steps'!F117))"),"")</f>
        <v/>
      </c>
      <c r="G96" s="42" t="str">
        <f>IFERROR(__xludf.DUMMYFUNCTION("IF('Main Flow Steps'!G117="""","""",IFERROR(GOOGLETRANSLATE('Main Flow Steps'!G117,""en"",""vi""),'Main Flow Steps'!G117))"),"")</f>
        <v/>
      </c>
      <c r="H96" s="42" t="str">
        <f>IF('Main Flow Steps'!H117="","",'Main Flow Steps'!H117)</f>
        <v/>
      </c>
      <c r="I96" s="42" t="str">
        <f>IF('Main Flow Steps'!I117="","",'Main Flow Steps'!I117)</f>
        <v/>
      </c>
      <c r="J96" s="42" t="str">
        <f>IFERROR(__xludf.DUMMYFUNCTION("IF('Main Flow Steps'!J117="""","""",IFERROR(GOOGLETRANSLATE('Main Flow Steps'!J117,""en"",""vi""),'Main Flow Steps'!J117))"),"")</f>
        <v/>
      </c>
      <c r="K96" s="42" t="str">
        <f>IFERROR(__xludf.DUMMYFUNCTION("IF('Main Flow Steps'!K117="""","""",IFERROR(GOOGLETRANSLATE('Main Flow Steps'!K117,""en"",""vi""),'Main Flow Steps'!K117))"),"")</f>
        <v/>
      </c>
    </row>
    <row r="97">
      <c r="A97" s="42" t="str">
        <f>IF('Main Flow Steps'!A118="","",'Main Flow Steps'!A118)</f>
        <v/>
      </c>
      <c r="B97" s="42" t="str">
        <f>IFERROR(__xludf.DUMMYFUNCTION("IF('Main Flow Steps'!B118="""","""",IFERROR(GOOGLETRANSLATE('Main Flow Steps'!B118,""en"",""vi""),'Main Flow Steps'!B118))"),"")</f>
        <v/>
      </c>
      <c r="C97" s="42" t="str">
        <f>IF('Main Flow Steps'!C118="","",'Main Flow Steps'!C118)</f>
        <v/>
      </c>
      <c r="D97" s="42" t="str">
        <f>IF('Main Flow Steps'!D118="","",SWITCH('Main Flow Steps'!D118,"Start","Bắt đầu","End","Kết thúc","User Action","Hành động người dùng","System Action","Hành động hệ thống","Optional User Action","Hành động tùy chọn của người dùng","Optional System Action","Hành động tùy chọn của hệ thống",'Main Flow Steps'!D118))</f>
        <v/>
      </c>
      <c r="E97" s="42" t="str">
        <f>IFERROR(__xludf.DUMMYFUNCTION("IF('Main Flow Steps'!E118="""","""",IFERROR(GOOGLETRANSLATE('Main Flow Steps'!E118,""en"",""vi""),'Main Flow Steps'!E118))"),"")</f>
        <v/>
      </c>
      <c r="F97" s="42" t="str">
        <f>IFERROR(__xludf.DUMMYFUNCTION("IF('Main Flow Steps'!F118="""","""",IFERROR(GOOGLETRANSLATE('Main Flow Steps'!F118,""en"",""vi""),'Main Flow Steps'!F118))"),"")</f>
        <v/>
      </c>
      <c r="G97" s="42" t="str">
        <f>IFERROR(__xludf.DUMMYFUNCTION("IF('Main Flow Steps'!G118="""","""",IFERROR(GOOGLETRANSLATE('Main Flow Steps'!G118,""en"",""vi""),'Main Flow Steps'!G118))"),"")</f>
        <v/>
      </c>
      <c r="H97" s="42" t="str">
        <f>IF('Main Flow Steps'!H118="","",'Main Flow Steps'!H118)</f>
        <v/>
      </c>
      <c r="I97" s="42" t="str">
        <f>IF('Main Flow Steps'!I118="","",'Main Flow Steps'!I118)</f>
        <v/>
      </c>
      <c r="J97" s="42" t="str">
        <f>IFERROR(__xludf.DUMMYFUNCTION("IF('Main Flow Steps'!J118="""","""",IFERROR(GOOGLETRANSLATE('Main Flow Steps'!J118,""en"",""vi""),'Main Flow Steps'!J118))"),"")</f>
        <v/>
      </c>
      <c r="K97" s="42" t="str">
        <f>IFERROR(__xludf.DUMMYFUNCTION("IF('Main Flow Steps'!K118="""","""",IFERROR(GOOGLETRANSLATE('Main Flow Steps'!K118,""en"",""vi""),'Main Flow Steps'!K118))"),"")</f>
        <v/>
      </c>
    </row>
    <row r="98">
      <c r="A98" s="42" t="str">
        <f>IF('Main Flow Steps'!A119="","",'Main Flow Steps'!A119)</f>
        <v/>
      </c>
      <c r="B98" s="42" t="str">
        <f>IFERROR(__xludf.DUMMYFUNCTION("IF('Main Flow Steps'!B119="""","""",IFERROR(GOOGLETRANSLATE('Main Flow Steps'!B119,""en"",""vi""),'Main Flow Steps'!B119))"),"")</f>
        <v/>
      </c>
      <c r="C98" s="42" t="str">
        <f>IF('Main Flow Steps'!C119="","",'Main Flow Steps'!C119)</f>
        <v/>
      </c>
      <c r="D98" s="42" t="str">
        <f>IF('Main Flow Steps'!D119="","",SWITCH('Main Flow Steps'!D119,"Start","Bắt đầu","End","Kết thúc","User Action","Hành động người dùng","System Action","Hành động hệ thống","Optional User Action","Hành động tùy chọn của người dùng","Optional System Action","Hành động tùy chọn của hệ thống",'Main Flow Steps'!D119))</f>
        <v/>
      </c>
      <c r="E98" s="42" t="str">
        <f>IFERROR(__xludf.DUMMYFUNCTION("IF('Main Flow Steps'!E119="""","""",IFERROR(GOOGLETRANSLATE('Main Flow Steps'!E119,""en"",""vi""),'Main Flow Steps'!E119))"),"")</f>
        <v/>
      </c>
      <c r="F98" s="42" t="str">
        <f>IFERROR(__xludf.DUMMYFUNCTION("IF('Main Flow Steps'!F119="""","""",IFERROR(GOOGLETRANSLATE('Main Flow Steps'!F119,""en"",""vi""),'Main Flow Steps'!F119))"),"")</f>
        <v/>
      </c>
      <c r="G98" s="42" t="str">
        <f>IFERROR(__xludf.DUMMYFUNCTION("IF('Main Flow Steps'!G119="""","""",IFERROR(GOOGLETRANSLATE('Main Flow Steps'!G119,""en"",""vi""),'Main Flow Steps'!G119))"),"")</f>
        <v/>
      </c>
      <c r="H98" s="42" t="str">
        <f>IF('Main Flow Steps'!H119="","",'Main Flow Steps'!H119)</f>
        <v/>
      </c>
      <c r="I98" s="42" t="str">
        <f>IF('Main Flow Steps'!I119="","",'Main Flow Steps'!I119)</f>
        <v/>
      </c>
      <c r="J98" s="42" t="str">
        <f>IFERROR(__xludf.DUMMYFUNCTION("IF('Main Flow Steps'!J119="""","""",IFERROR(GOOGLETRANSLATE('Main Flow Steps'!J119,""en"",""vi""),'Main Flow Steps'!J119))"),"")</f>
        <v/>
      </c>
      <c r="K98" s="42" t="str">
        <f>IFERROR(__xludf.DUMMYFUNCTION("IF('Main Flow Steps'!K119="""","""",IFERROR(GOOGLETRANSLATE('Main Flow Steps'!K119,""en"",""vi""),'Main Flow Steps'!K119))"),"")</f>
        <v/>
      </c>
    </row>
    <row r="99">
      <c r="A99" s="42" t="str">
        <f>IF('Main Flow Steps'!A120="","",'Main Flow Steps'!A120)</f>
        <v/>
      </c>
      <c r="B99" s="42" t="str">
        <f>IFERROR(__xludf.DUMMYFUNCTION("IF('Main Flow Steps'!B120="""","""",IFERROR(GOOGLETRANSLATE('Main Flow Steps'!B120,""en"",""vi""),'Main Flow Steps'!B120))"),"")</f>
        <v/>
      </c>
      <c r="C99" s="42" t="str">
        <f>IF('Main Flow Steps'!C120="","",'Main Flow Steps'!C120)</f>
        <v/>
      </c>
      <c r="D99" s="42" t="str">
        <f>IF('Main Flow Steps'!D120="","",SWITCH('Main Flow Steps'!D120,"Start","Bắt đầu","End","Kết thúc","User Action","Hành động người dùng","System Action","Hành động hệ thống","Optional User Action","Hành động tùy chọn của người dùng","Optional System Action","Hành động tùy chọn của hệ thống",'Main Flow Steps'!D120))</f>
        <v/>
      </c>
      <c r="E99" s="42" t="str">
        <f>IFERROR(__xludf.DUMMYFUNCTION("IF('Main Flow Steps'!E120="""","""",IFERROR(GOOGLETRANSLATE('Main Flow Steps'!E120,""en"",""vi""),'Main Flow Steps'!E120))"),"")</f>
        <v/>
      </c>
      <c r="F99" s="42" t="str">
        <f>IFERROR(__xludf.DUMMYFUNCTION("IF('Main Flow Steps'!F120="""","""",IFERROR(GOOGLETRANSLATE('Main Flow Steps'!F120,""en"",""vi""),'Main Flow Steps'!F120))"),"")</f>
        <v/>
      </c>
      <c r="G99" s="42" t="str">
        <f>IFERROR(__xludf.DUMMYFUNCTION("IF('Main Flow Steps'!G120="""","""",IFERROR(GOOGLETRANSLATE('Main Flow Steps'!G120,""en"",""vi""),'Main Flow Steps'!G120))"),"")</f>
        <v/>
      </c>
      <c r="H99" s="42" t="str">
        <f>IF('Main Flow Steps'!H120="","",'Main Flow Steps'!H120)</f>
        <v/>
      </c>
      <c r="I99" s="42" t="str">
        <f>IF('Main Flow Steps'!I120="","",'Main Flow Steps'!I120)</f>
        <v/>
      </c>
      <c r="J99" s="42" t="str">
        <f>IFERROR(__xludf.DUMMYFUNCTION("IF('Main Flow Steps'!J120="""","""",IFERROR(GOOGLETRANSLATE('Main Flow Steps'!J120,""en"",""vi""),'Main Flow Steps'!J120))"),"")</f>
        <v/>
      </c>
      <c r="K99" s="42" t="str">
        <f>IFERROR(__xludf.DUMMYFUNCTION("IF('Main Flow Steps'!K120="""","""",IFERROR(GOOGLETRANSLATE('Main Flow Steps'!K120,""en"",""vi""),'Main Flow Steps'!K120))"),"")</f>
        <v/>
      </c>
    </row>
    <row r="100">
      <c r="A100" s="42" t="str">
        <f>IF('Main Flow Steps'!A121="","",'Main Flow Steps'!A121)</f>
        <v/>
      </c>
      <c r="B100" s="42" t="str">
        <f>IFERROR(__xludf.DUMMYFUNCTION("IF('Main Flow Steps'!B121="""","""",IFERROR(GOOGLETRANSLATE('Main Flow Steps'!B121,""en"",""vi""),'Main Flow Steps'!B121))"),"")</f>
        <v/>
      </c>
      <c r="C100" s="42" t="str">
        <f>IF('Main Flow Steps'!C121="","",'Main Flow Steps'!C121)</f>
        <v/>
      </c>
      <c r="D100" s="42" t="str">
        <f>IF('Main Flow Steps'!D121="","",SWITCH('Main Flow Steps'!D121,"Start","Bắt đầu","End","Kết thúc","User Action","Hành động người dùng","System Action","Hành động hệ thống","Optional User Action","Hành động tùy chọn của người dùng","Optional System Action","Hành động tùy chọn của hệ thống",'Main Flow Steps'!D121))</f>
        <v/>
      </c>
      <c r="E100" s="42" t="str">
        <f>IFERROR(__xludf.DUMMYFUNCTION("IF('Main Flow Steps'!E121="""","""",IFERROR(GOOGLETRANSLATE('Main Flow Steps'!E121,""en"",""vi""),'Main Flow Steps'!E121))"),"")</f>
        <v/>
      </c>
      <c r="F100" s="42" t="str">
        <f>IFERROR(__xludf.DUMMYFUNCTION("IF('Main Flow Steps'!F121="""","""",IFERROR(GOOGLETRANSLATE('Main Flow Steps'!F121,""en"",""vi""),'Main Flow Steps'!F121))"),"")</f>
        <v/>
      </c>
      <c r="G100" s="42" t="str">
        <f>IFERROR(__xludf.DUMMYFUNCTION("IF('Main Flow Steps'!G121="""","""",IFERROR(GOOGLETRANSLATE('Main Flow Steps'!G121,""en"",""vi""),'Main Flow Steps'!G121))"),"")</f>
        <v/>
      </c>
      <c r="H100" s="42" t="str">
        <f>IF('Main Flow Steps'!H121="","",'Main Flow Steps'!H121)</f>
        <v/>
      </c>
      <c r="I100" s="42" t="str">
        <f>IF('Main Flow Steps'!I121="","",'Main Flow Steps'!I121)</f>
        <v/>
      </c>
      <c r="J100" s="42" t="str">
        <f>IFERROR(__xludf.DUMMYFUNCTION("IF('Main Flow Steps'!J121="""","""",IFERROR(GOOGLETRANSLATE('Main Flow Steps'!J121,""en"",""vi""),'Main Flow Steps'!J121))"),"")</f>
        <v/>
      </c>
      <c r="K100" s="42" t="str">
        <f>IFERROR(__xludf.DUMMYFUNCTION("IF('Main Flow Steps'!K121="""","""",IFERROR(GOOGLETRANSLATE('Main Flow Steps'!K121,""en"",""vi""),'Main Flow Steps'!K121))"),"")</f>
        <v/>
      </c>
    </row>
    <row r="101">
      <c r="A101" s="42" t="str">
        <f>IF('Main Flow Steps'!A122="","",'Main Flow Steps'!A122)</f>
        <v/>
      </c>
      <c r="B101" s="42" t="str">
        <f>IFERROR(__xludf.DUMMYFUNCTION("IF('Main Flow Steps'!B122="""","""",IFERROR(GOOGLETRANSLATE('Main Flow Steps'!B122,""en"",""vi""),'Main Flow Steps'!B122))"),"")</f>
        <v/>
      </c>
      <c r="C101" s="42" t="str">
        <f>IF('Main Flow Steps'!C122="","",'Main Flow Steps'!C122)</f>
        <v/>
      </c>
      <c r="D101" s="42" t="str">
        <f>IF('Main Flow Steps'!D122="","",SWITCH('Main Flow Steps'!D122,"Start","Bắt đầu","End","Kết thúc","User Action","Hành động người dùng","System Action","Hành động hệ thống","Optional User Action","Hành động tùy chọn của người dùng","Optional System Action","Hành động tùy chọn của hệ thống",'Main Flow Steps'!D122))</f>
        <v/>
      </c>
      <c r="E101" s="42" t="str">
        <f>IFERROR(__xludf.DUMMYFUNCTION("IF('Main Flow Steps'!E122="""","""",IFERROR(GOOGLETRANSLATE('Main Flow Steps'!E122,""en"",""vi""),'Main Flow Steps'!E122))"),"")</f>
        <v/>
      </c>
      <c r="F101" s="42" t="str">
        <f>IFERROR(__xludf.DUMMYFUNCTION("IF('Main Flow Steps'!F122="""","""",IFERROR(GOOGLETRANSLATE('Main Flow Steps'!F122,""en"",""vi""),'Main Flow Steps'!F122))"),"")</f>
        <v/>
      </c>
      <c r="G101" s="42" t="str">
        <f>IFERROR(__xludf.DUMMYFUNCTION("IF('Main Flow Steps'!G122="""","""",IFERROR(GOOGLETRANSLATE('Main Flow Steps'!G122,""en"",""vi""),'Main Flow Steps'!G122))"),"")</f>
        <v/>
      </c>
      <c r="H101" s="42" t="str">
        <f>IF('Main Flow Steps'!H122="","",'Main Flow Steps'!H122)</f>
        <v/>
      </c>
      <c r="I101" s="42" t="str">
        <f>IF('Main Flow Steps'!I122="","",'Main Flow Steps'!I122)</f>
        <v/>
      </c>
      <c r="J101" s="42" t="str">
        <f>IFERROR(__xludf.DUMMYFUNCTION("IF('Main Flow Steps'!J122="""","""",IFERROR(GOOGLETRANSLATE('Main Flow Steps'!J122,""en"",""vi""),'Main Flow Steps'!J122))"),"")</f>
        <v/>
      </c>
      <c r="K101" s="42" t="str">
        <f>IFERROR(__xludf.DUMMYFUNCTION("IF('Main Flow Steps'!K122="""","""",IFERROR(GOOGLETRANSLATE('Main Flow Steps'!K122,""en"",""vi""),'Main Flow Steps'!K122))"),"")</f>
        <v/>
      </c>
    </row>
    <row r="102">
      <c r="A102" s="42" t="str">
        <f>IF('Main Flow Steps'!A123="","",'Main Flow Steps'!A123)</f>
        <v/>
      </c>
      <c r="B102" s="42" t="str">
        <f>IFERROR(__xludf.DUMMYFUNCTION("IF('Main Flow Steps'!B123="""","""",IFERROR(GOOGLETRANSLATE('Main Flow Steps'!B123,""en"",""vi""),'Main Flow Steps'!B123))"),"")</f>
        <v/>
      </c>
      <c r="C102" s="42" t="str">
        <f>IF('Main Flow Steps'!C123="","",'Main Flow Steps'!C123)</f>
        <v/>
      </c>
      <c r="D102" s="42" t="str">
        <f>IF('Main Flow Steps'!D123="","",SWITCH('Main Flow Steps'!D123,"Start","Bắt đầu","End","Kết thúc","User Action","Hành động người dùng","System Action","Hành động hệ thống","Optional User Action","Hành động tùy chọn của người dùng","Optional System Action","Hành động tùy chọn của hệ thống",'Main Flow Steps'!D123))</f>
        <v/>
      </c>
      <c r="E102" s="42" t="str">
        <f>IFERROR(__xludf.DUMMYFUNCTION("IF('Main Flow Steps'!E123="""","""",IFERROR(GOOGLETRANSLATE('Main Flow Steps'!E123,""en"",""vi""),'Main Flow Steps'!E123))"),"")</f>
        <v/>
      </c>
      <c r="F102" s="42" t="str">
        <f>IFERROR(__xludf.DUMMYFUNCTION("IF('Main Flow Steps'!F123="""","""",IFERROR(GOOGLETRANSLATE('Main Flow Steps'!F123,""en"",""vi""),'Main Flow Steps'!F123))"),"")</f>
        <v/>
      </c>
      <c r="G102" s="42" t="str">
        <f>IFERROR(__xludf.DUMMYFUNCTION("IF('Main Flow Steps'!G123="""","""",IFERROR(GOOGLETRANSLATE('Main Flow Steps'!G123,""en"",""vi""),'Main Flow Steps'!G123))"),"")</f>
        <v/>
      </c>
      <c r="H102" s="42" t="str">
        <f>IF('Main Flow Steps'!H123="","",'Main Flow Steps'!H123)</f>
        <v/>
      </c>
      <c r="I102" s="42" t="str">
        <f>IF('Main Flow Steps'!I123="","",'Main Flow Steps'!I123)</f>
        <v/>
      </c>
      <c r="J102" s="42" t="str">
        <f>IFERROR(__xludf.DUMMYFUNCTION("IF('Main Flow Steps'!J123="""","""",IFERROR(GOOGLETRANSLATE('Main Flow Steps'!J123,""en"",""vi""),'Main Flow Steps'!J123))"),"")</f>
        <v/>
      </c>
      <c r="K102" s="42" t="str">
        <f>IFERROR(__xludf.DUMMYFUNCTION("IF('Main Flow Steps'!K123="""","""",IFERROR(GOOGLETRANSLATE('Main Flow Steps'!K123,""en"",""vi""),'Main Flow Steps'!K123))"),"")</f>
        <v/>
      </c>
    </row>
    <row r="103">
      <c r="A103" s="42" t="str">
        <f>IF('Main Flow Steps'!A124="","",'Main Flow Steps'!A124)</f>
        <v/>
      </c>
      <c r="B103" s="42" t="str">
        <f>IFERROR(__xludf.DUMMYFUNCTION("IF('Main Flow Steps'!B124="""","""",IFERROR(GOOGLETRANSLATE('Main Flow Steps'!B124,""en"",""vi""),'Main Flow Steps'!B124))"),"")</f>
        <v/>
      </c>
      <c r="C103" s="42" t="str">
        <f>IF('Main Flow Steps'!C124="","",'Main Flow Steps'!C124)</f>
        <v/>
      </c>
      <c r="D103" s="42" t="str">
        <f>IF('Main Flow Steps'!D124="","",SWITCH('Main Flow Steps'!D124,"Start","Bắt đầu","End","Kết thúc","User Action","Hành động người dùng","System Action","Hành động hệ thống","Optional User Action","Hành động tùy chọn của người dùng","Optional System Action","Hành động tùy chọn của hệ thống",'Main Flow Steps'!D124))</f>
        <v/>
      </c>
      <c r="E103" s="42" t="str">
        <f>IFERROR(__xludf.DUMMYFUNCTION("IF('Main Flow Steps'!E124="""","""",IFERROR(GOOGLETRANSLATE('Main Flow Steps'!E124,""en"",""vi""),'Main Flow Steps'!E124))"),"")</f>
        <v/>
      </c>
      <c r="F103" s="42" t="str">
        <f>IFERROR(__xludf.DUMMYFUNCTION("IF('Main Flow Steps'!F124="""","""",IFERROR(GOOGLETRANSLATE('Main Flow Steps'!F124,""en"",""vi""),'Main Flow Steps'!F124))"),"")</f>
        <v/>
      </c>
      <c r="G103" s="42" t="str">
        <f>IFERROR(__xludf.DUMMYFUNCTION("IF('Main Flow Steps'!G124="""","""",IFERROR(GOOGLETRANSLATE('Main Flow Steps'!G124,""en"",""vi""),'Main Flow Steps'!G124))"),"")</f>
        <v/>
      </c>
      <c r="H103" s="42" t="str">
        <f>IF('Main Flow Steps'!H124="","",'Main Flow Steps'!H124)</f>
        <v/>
      </c>
      <c r="I103" s="42" t="str">
        <f>IF('Main Flow Steps'!I124="","",'Main Flow Steps'!I124)</f>
        <v/>
      </c>
      <c r="J103" s="42" t="str">
        <f>IFERROR(__xludf.DUMMYFUNCTION("IF('Main Flow Steps'!J124="""","""",IFERROR(GOOGLETRANSLATE('Main Flow Steps'!J124,""en"",""vi""),'Main Flow Steps'!J124))"),"")</f>
        <v/>
      </c>
      <c r="K103" s="42" t="str">
        <f>IFERROR(__xludf.DUMMYFUNCTION("IF('Main Flow Steps'!K124="""","""",IFERROR(GOOGLETRANSLATE('Main Flow Steps'!K124,""en"",""vi""),'Main Flow Steps'!K124))"),"")</f>
        <v/>
      </c>
    </row>
    <row r="104">
      <c r="A104" s="42" t="str">
        <f>IF('Main Flow Steps'!A125="","",'Main Flow Steps'!A125)</f>
        <v/>
      </c>
      <c r="B104" s="42" t="str">
        <f>IFERROR(__xludf.DUMMYFUNCTION("IF('Main Flow Steps'!B125="""","""",IFERROR(GOOGLETRANSLATE('Main Flow Steps'!B125,""en"",""vi""),'Main Flow Steps'!B125))"),"")</f>
        <v/>
      </c>
      <c r="C104" s="42" t="str">
        <f>IF('Main Flow Steps'!C125="","",'Main Flow Steps'!C125)</f>
        <v/>
      </c>
      <c r="D104" s="42" t="str">
        <f>IF('Main Flow Steps'!D125="","",SWITCH('Main Flow Steps'!D125,"Start","Bắt đầu","End","Kết thúc","User Action","Hành động người dùng","System Action","Hành động hệ thống","Optional User Action","Hành động tùy chọn của người dùng","Optional System Action","Hành động tùy chọn của hệ thống",'Main Flow Steps'!D125))</f>
        <v/>
      </c>
      <c r="E104" s="42" t="str">
        <f>IFERROR(__xludf.DUMMYFUNCTION("IF('Main Flow Steps'!E125="""","""",IFERROR(GOOGLETRANSLATE('Main Flow Steps'!E125,""en"",""vi""),'Main Flow Steps'!E125))"),"")</f>
        <v/>
      </c>
      <c r="F104" s="42" t="str">
        <f>IFERROR(__xludf.DUMMYFUNCTION("IF('Main Flow Steps'!F125="""","""",IFERROR(GOOGLETRANSLATE('Main Flow Steps'!F125,""en"",""vi""),'Main Flow Steps'!F125))"),"")</f>
        <v/>
      </c>
      <c r="G104" s="42" t="str">
        <f>IFERROR(__xludf.DUMMYFUNCTION("IF('Main Flow Steps'!G125="""","""",IFERROR(GOOGLETRANSLATE('Main Flow Steps'!G125,""en"",""vi""),'Main Flow Steps'!G125))"),"")</f>
        <v/>
      </c>
      <c r="H104" s="42" t="str">
        <f>IF('Main Flow Steps'!H125="","",'Main Flow Steps'!H125)</f>
        <v/>
      </c>
      <c r="I104" s="42" t="str">
        <f>IF('Main Flow Steps'!I125="","",'Main Flow Steps'!I125)</f>
        <v/>
      </c>
      <c r="J104" s="42" t="str">
        <f>IFERROR(__xludf.DUMMYFUNCTION("IF('Main Flow Steps'!J125="""","""",IFERROR(GOOGLETRANSLATE('Main Flow Steps'!J125,""en"",""vi""),'Main Flow Steps'!J125))"),"")</f>
        <v/>
      </c>
      <c r="K104" s="42" t="str">
        <f>IFERROR(__xludf.DUMMYFUNCTION("IF('Main Flow Steps'!K125="""","""",IFERROR(GOOGLETRANSLATE('Main Flow Steps'!K125,""en"",""vi""),'Main Flow Steps'!K125))"),"")</f>
        <v/>
      </c>
    </row>
    <row r="105">
      <c r="A105" s="42" t="str">
        <f>IF('Main Flow Steps'!A126="","",'Main Flow Steps'!A126)</f>
        <v/>
      </c>
      <c r="B105" s="42" t="str">
        <f>IFERROR(__xludf.DUMMYFUNCTION("IF('Main Flow Steps'!B126="""","""",IFERROR(GOOGLETRANSLATE('Main Flow Steps'!B126,""en"",""vi""),'Main Flow Steps'!B126))"),"")</f>
        <v/>
      </c>
      <c r="C105" s="42" t="str">
        <f>IF('Main Flow Steps'!C126="","",'Main Flow Steps'!C126)</f>
        <v/>
      </c>
      <c r="D105" s="42" t="str">
        <f>IF('Main Flow Steps'!D126="","",SWITCH('Main Flow Steps'!D126,"Start","Bắt đầu","End","Kết thúc","User Action","Hành động người dùng","System Action","Hành động hệ thống","Optional User Action","Hành động tùy chọn của người dùng","Optional System Action","Hành động tùy chọn của hệ thống",'Main Flow Steps'!D126))</f>
        <v/>
      </c>
      <c r="E105" s="42" t="str">
        <f>IFERROR(__xludf.DUMMYFUNCTION("IF('Main Flow Steps'!E126="""","""",IFERROR(GOOGLETRANSLATE('Main Flow Steps'!E126,""en"",""vi""),'Main Flow Steps'!E126))"),"")</f>
        <v/>
      </c>
      <c r="F105" s="42" t="str">
        <f>IFERROR(__xludf.DUMMYFUNCTION("IF('Main Flow Steps'!F126="""","""",IFERROR(GOOGLETRANSLATE('Main Flow Steps'!F126,""en"",""vi""),'Main Flow Steps'!F126))"),"")</f>
        <v/>
      </c>
      <c r="G105" s="42" t="str">
        <f>IFERROR(__xludf.DUMMYFUNCTION("IF('Main Flow Steps'!G126="""","""",IFERROR(GOOGLETRANSLATE('Main Flow Steps'!G126,""en"",""vi""),'Main Flow Steps'!G126))"),"")</f>
        <v/>
      </c>
      <c r="H105" s="42" t="str">
        <f>IF('Main Flow Steps'!H126="","",'Main Flow Steps'!H126)</f>
        <v/>
      </c>
      <c r="I105" s="42" t="str">
        <f>IF('Main Flow Steps'!I126="","",'Main Flow Steps'!I126)</f>
        <v/>
      </c>
      <c r="J105" s="42" t="str">
        <f>IFERROR(__xludf.DUMMYFUNCTION("IF('Main Flow Steps'!J126="""","""",IFERROR(GOOGLETRANSLATE('Main Flow Steps'!J126,""en"",""vi""),'Main Flow Steps'!J126))"),"")</f>
        <v/>
      </c>
      <c r="K105" s="42" t="str">
        <f>IFERROR(__xludf.DUMMYFUNCTION("IF('Main Flow Steps'!K126="""","""",IFERROR(GOOGLETRANSLATE('Main Flow Steps'!K126,""en"",""vi""),'Main Flow Steps'!K126))"),"")</f>
        <v/>
      </c>
    </row>
    <row r="106">
      <c r="A106" s="42" t="str">
        <f>IF('Main Flow Steps'!A127="","",'Main Flow Steps'!A127)</f>
        <v/>
      </c>
      <c r="B106" s="42" t="str">
        <f>IFERROR(__xludf.DUMMYFUNCTION("IF('Main Flow Steps'!B127="""","""",IFERROR(GOOGLETRANSLATE('Main Flow Steps'!B127,""en"",""vi""),'Main Flow Steps'!B127))"),"")</f>
        <v/>
      </c>
      <c r="C106" s="42" t="str">
        <f>IF('Main Flow Steps'!C127="","",'Main Flow Steps'!C127)</f>
        <v/>
      </c>
      <c r="D106" s="42" t="str">
        <f>IF('Main Flow Steps'!D127="","",SWITCH('Main Flow Steps'!D127,"Start","Bắt đầu","End","Kết thúc","User Action","Hành động người dùng","System Action","Hành động hệ thống","Optional User Action","Hành động tùy chọn của người dùng","Optional System Action","Hành động tùy chọn của hệ thống",'Main Flow Steps'!D127))</f>
        <v/>
      </c>
      <c r="E106" s="42" t="str">
        <f>IFERROR(__xludf.DUMMYFUNCTION("IF('Main Flow Steps'!E127="""","""",IFERROR(GOOGLETRANSLATE('Main Flow Steps'!E127,""en"",""vi""),'Main Flow Steps'!E127))"),"")</f>
        <v/>
      </c>
      <c r="F106" s="42" t="str">
        <f>IFERROR(__xludf.DUMMYFUNCTION("IF('Main Flow Steps'!F127="""","""",IFERROR(GOOGLETRANSLATE('Main Flow Steps'!F127,""en"",""vi""),'Main Flow Steps'!F127))"),"")</f>
        <v/>
      </c>
      <c r="G106" s="42" t="str">
        <f>IFERROR(__xludf.DUMMYFUNCTION("IF('Main Flow Steps'!G127="""","""",IFERROR(GOOGLETRANSLATE('Main Flow Steps'!G127,""en"",""vi""),'Main Flow Steps'!G127))"),"")</f>
        <v/>
      </c>
      <c r="H106" s="42" t="str">
        <f>IF('Main Flow Steps'!H127="","",'Main Flow Steps'!H127)</f>
        <v/>
      </c>
      <c r="I106" s="42" t="str">
        <f>IF('Main Flow Steps'!I127="","",'Main Flow Steps'!I127)</f>
        <v/>
      </c>
      <c r="J106" s="42" t="str">
        <f>IFERROR(__xludf.DUMMYFUNCTION("IF('Main Flow Steps'!J127="""","""",IFERROR(GOOGLETRANSLATE('Main Flow Steps'!J127,""en"",""vi""),'Main Flow Steps'!J127))"),"")</f>
        <v/>
      </c>
      <c r="K106" s="42" t="str">
        <f>IFERROR(__xludf.DUMMYFUNCTION("IF('Main Flow Steps'!K127="""","""",IFERROR(GOOGLETRANSLATE('Main Flow Steps'!K127,""en"",""vi""),'Main Flow Steps'!K127))"),"")</f>
        <v/>
      </c>
    </row>
    <row r="107">
      <c r="A107" s="42" t="str">
        <f>IF('Main Flow Steps'!A128="","",'Main Flow Steps'!A128)</f>
        <v/>
      </c>
      <c r="B107" s="42" t="str">
        <f>IFERROR(__xludf.DUMMYFUNCTION("IF('Main Flow Steps'!B128="""","""",IFERROR(GOOGLETRANSLATE('Main Flow Steps'!B128,""en"",""vi""),'Main Flow Steps'!B128))"),"")</f>
        <v/>
      </c>
      <c r="C107" s="42" t="str">
        <f>IF('Main Flow Steps'!C128="","",'Main Flow Steps'!C128)</f>
        <v/>
      </c>
      <c r="D107" s="42" t="str">
        <f>IF('Main Flow Steps'!D128="","",SWITCH('Main Flow Steps'!D128,"Start","Bắt đầu","End","Kết thúc","User Action","Hành động người dùng","System Action","Hành động hệ thống","Optional User Action","Hành động tùy chọn của người dùng","Optional System Action","Hành động tùy chọn của hệ thống",'Main Flow Steps'!D128))</f>
        <v/>
      </c>
      <c r="E107" s="42" t="str">
        <f>IFERROR(__xludf.DUMMYFUNCTION("IF('Main Flow Steps'!E128="""","""",IFERROR(GOOGLETRANSLATE('Main Flow Steps'!E128,""en"",""vi""),'Main Flow Steps'!E128))"),"")</f>
        <v/>
      </c>
      <c r="F107" s="42" t="str">
        <f>IFERROR(__xludf.DUMMYFUNCTION("IF('Main Flow Steps'!F128="""","""",IFERROR(GOOGLETRANSLATE('Main Flow Steps'!F128,""en"",""vi""),'Main Flow Steps'!F128))"),"")</f>
        <v/>
      </c>
      <c r="G107" s="42" t="str">
        <f>IFERROR(__xludf.DUMMYFUNCTION("IF('Main Flow Steps'!G128="""","""",IFERROR(GOOGLETRANSLATE('Main Flow Steps'!G128,""en"",""vi""),'Main Flow Steps'!G128))"),"")</f>
        <v/>
      </c>
      <c r="H107" s="42" t="str">
        <f>IF('Main Flow Steps'!H128="","",'Main Flow Steps'!H128)</f>
        <v/>
      </c>
      <c r="I107" s="42" t="str">
        <f>IF('Main Flow Steps'!I128="","",'Main Flow Steps'!I128)</f>
        <v/>
      </c>
      <c r="J107" s="42" t="str">
        <f>IFERROR(__xludf.DUMMYFUNCTION("IF('Main Flow Steps'!J128="""","""",IFERROR(GOOGLETRANSLATE('Main Flow Steps'!J128,""en"",""vi""),'Main Flow Steps'!J128))"),"")</f>
        <v/>
      </c>
      <c r="K107" s="42" t="str">
        <f>IFERROR(__xludf.DUMMYFUNCTION("IF('Main Flow Steps'!K128="""","""",IFERROR(GOOGLETRANSLATE('Main Flow Steps'!K128,""en"",""vi""),'Main Flow Steps'!K128))"),"")</f>
        <v/>
      </c>
    </row>
    <row r="108">
      <c r="A108" s="42" t="str">
        <f>IF('Main Flow Steps'!A129="","",'Main Flow Steps'!A129)</f>
        <v/>
      </c>
      <c r="B108" s="42" t="str">
        <f>IFERROR(__xludf.DUMMYFUNCTION("IF('Main Flow Steps'!B129="""","""",IFERROR(GOOGLETRANSLATE('Main Flow Steps'!B129,""en"",""vi""),'Main Flow Steps'!B129))"),"")</f>
        <v/>
      </c>
      <c r="C108" s="42" t="str">
        <f>IF('Main Flow Steps'!C129="","",'Main Flow Steps'!C129)</f>
        <v/>
      </c>
      <c r="D108" s="42" t="str">
        <f>IF('Main Flow Steps'!D129="","",SWITCH('Main Flow Steps'!D129,"Start","Bắt đầu","End","Kết thúc","User Action","Hành động người dùng","System Action","Hành động hệ thống","Optional User Action","Hành động tùy chọn của người dùng","Optional System Action","Hành động tùy chọn của hệ thống",'Main Flow Steps'!D129))</f>
        <v/>
      </c>
      <c r="E108" s="42" t="str">
        <f>IFERROR(__xludf.DUMMYFUNCTION("IF('Main Flow Steps'!E129="""","""",IFERROR(GOOGLETRANSLATE('Main Flow Steps'!E129,""en"",""vi""),'Main Flow Steps'!E129))"),"")</f>
        <v/>
      </c>
      <c r="F108" s="42" t="str">
        <f>IFERROR(__xludf.DUMMYFUNCTION("IF('Main Flow Steps'!F129="""","""",IFERROR(GOOGLETRANSLATE('Main Flow Steps'!F129,""en"",""vi""),'Main Flow Steps'!F129))"),"")</f>
        <v/>
      </c>
      <c r="G108" s="42" t="str">
        <f>IFERROR(__xludf.DUMMYFUNCTION("IF('Main Flow Steps'!G129="""","""",IFERROR(GOOGLETRANSLATE('Main Flow Steps'!G129,""en"",""vi""),'Main Flow Steps'!G129))"),"")</f>
        <v/>
      </c>
      <c r="H108" s="42" t="str">
        <f>IF('Main Flow Steps'!H129="","",'Main Flow Steps'!H129)</f>
        <v/>
      </c>
      <c r="I108" s="42" t="str">
        <f>IF('Main Flow Steps'!I129="","",'Main Flow Steps'!I129)</f>
        <v/>
      </c>
      <c r="J108" s="42" t="str">
        <f>IFERROR(__xludf.DUMMYFUNCTION("IF('Main Flow Steps'!J129="""","""",IFERROR(GOOGLETRANSLATE('Main Flow Steps'!J129,""en"",""vi""),'Main Flow Steps'!J129))"),"")</f>
        <v/>
      </c>
      <c r="K108" s="42" t="str">
        <f>IFERROR(__xludf.DUMMYFUNCTION("IF('Main Flow Steps'!K129="""","""",IFERROR(GOOGLETRANSLATE('Main Flow Steps'!K129,""en"",""vi""),'Main Flow Steps'!K129))"),"")</f>
        <v/>
      </c>
    </row>
    <row r="109">
      <c r="A109" s="42" t="str">
        <f>IF('Main Flow Steps'!A130="","",'Main Flow Steps'!A130)</f>
        <v/>
      </c>
      <c r="B109" s="42" t="str">
        <f>IFERROR(__xludf.DUMMYFUNCTION("IF('Main Flow Steps'!B130="""","""",IFERROR(GOOGLETRANSLATE('Main Flow Steps'!B130,""en"",""vi""),'Main Flow Steps'!B130))"),"")</f>
        <v/>
      </c>
      <c r="C109" s="42" t="str">
        <f>IF('Main Flow Steps'!C130="","",'Main Flow Steps'!C130)</f>
        <v/>
      </c>
      <c r="D109" s="42" t="str">
        <f>IF('Main Flow Steps'!D130="","",SWITCH('Main Flow Steps'!D130,"Start","Bắt đầu","End","Kết thúc","User Action","Hành động người dùng","System Action","Hành động hệ thống","Optional User Action","Hành động tùy chọn của người dùng","Optional System Action","Hành động tùy chọn của hệ thống",'Main Flow Steps'!D130))</f>
        <v/>
      </c>
      <c r="E109" s="42" t="str">
        <f>IFERROR(__xludf.DUMMYFUNCTION("IF('Main Flow Steps'!E130="""","""",IFERROR(GOOGLETRANSLATE('Main Flow Steps'!E130,""en"",""vi""),'Main Flow Steps'!E130))"),"")</f>
        <v/>
      </c>
      <c r="F109" s="42" t="str">
        <f>IFERROR(__xludf.DUMMYFUNCTION("IF('Main Flow Steps'!F130="""","""",IFERROR(GOOGLETRANSLATE('Main Flow Steps'!F130,""en"",""vi""),'Main Flow Steps'!F130))"),"")</f>
        <v/>
      </c>
      <c r="G109" s="42" t="str">
        <f>IFERROR(__xludf.DUMMYFUNCTION("IF('Main Flow Steps'!G130="""","""",IFERROR(GOOGLETRANSLATE('Main Flow Steps'!G130,""en"",""vi""),'Main Flow Steps'!G130))"),"")</f>
        <v/>
      </c>
      <c r="H109" s="42" t="str">
        <f>IF('Main Flow Steps'!H130="","",'Main Flow Steps'!H130)</f>
        <v/>
      </c>
      <c r="I109" s="42" t="str">
        <f>IF('Main Flow Steps'!I130="","",'Main Flow Steps'!I130)</f>
        <v/>
      </c>
      <c r="J109" s="42" t="str">
        <f>IFERROR(__xludf.DUMMYFUNCTION("IF('Main Flow Steps'!J130="""","""",IFERROR(GOOGLETRANSLATE('Main Flow Steps'!J130,""en"",""vi""),'Main Flow Steps'!J130))"),"")</f>
        <v/>
      </c>
      <c r="K109" s="42" t="str">
        <f>IFERROR(__xludf.DUMMYFUNCTION("IF('Main Flow Steps'!K130="""","""",IFERROR(GOOGLETRANSLATE('Main Flow Steps'!K130,""en"",""vi""),'Main Flow Steps'!K130))"),"")</f>
        <v/>
      </c>
    </row>
    <row r="110">
      <c r="A110" s="42" t="str">
        <f>IF('Main Flow Steps'!A131="","",'Main Flow Steps'!A131)</f>
        <v/>
      </c>
      <c r="B110" s="42" t="str">
        <f>IFERROR(__xludf.DUMMYFUNCTION("IF('Main Flow Steps'!B131="""","""",IFERROR(GOOGLETRANSLATE('Main Flow Steps'!B131,""en"",""vi""),'Main Flow Steps'!B131))"),"")</f>
        <v/>
      </c>
      <c r="C110" s="42" t="str">
        <f>IF('Main Flow Steps'!C131="","",'Main Flow Steps'!C131)</f>
        <v/>
      </c>
      <c r="D110" s="42" t="str">
        <f>IF('Main Flow Steps'!D131="","",SWITCH('Main Flow Steps'!D131,"Start","Bắt đầu","End","Kết thúc","User Action","Hành động người dùng","System Action","Hành động hệ thống","Optional User Action","Hành động tùy chọn của người dùng","Optional System Action","Hành động tùy chọn của hệ thống",'Main Flow Steps'!D131))</f>
        <v/>
      </c>
      <c r="E110" s="42" t="str">
        <f>IFERROR(__xludf.DUMMYFUNCTION("IF('Main Flow Steps'!E131="""","""",IFERROR(GOOGLETRANSLATE('Main Flow Steps'!E131,""en"",""vi""),'Main Flow Steps'!E131))"),"")</f>
        <v/>
      </c>
      <c r="F110" s="42" t="str">
        <f>IFERROR(__xludf.DUMMYFUNCTION("IF('Main Flow Steps'!F131="""","""",IFERROR(GOOGLETRANSLATE('Main Flow Steps'!F131,""en"",""vi""),'Main Flow Steps'!F131))"),"")</f>
        <v/>
      </c>
      <c r="G110" s="42" t="str">
        <f>IFERROR(__xludf.DUMMYFUNCTION("IF('Main Flow Steps'!G131="""","""",IFERROR(GOOGLETRANSLATE('Main Flow Steps'!G131,""en"",""vi""),'Main Flow Steps'!G131))"),"")</f>
        <v/>
      </c>
      <c r="H110" s="42" t="str">
        <f>IF('Main Flow Steps'!H131="","",'Main Flow Steps'!H131)</f>
        <v/>
      </c>
      <c r="I110" s="42" t="str">
        <f>IF('Main Flow Steps'!I131="","",'Main Flow Steps'!I131)</f>
        <v/>
      </c>
      <c r="J110" s="42" t="str">
        <f>IFERROR(__xludf.DUMMYFUNCTION("IF('Main Flow Steps'!J131="""","""",IFERROR(GOOGLETRANSLATE('Main Flow Steps'!J131,""en"",""vi""),'Main Flow Steps'!J131))"),"")</f>
        <v/>
      </c>
      <c r="K110" s="42" t="str">
        <f>IFERROR(__xludf.DUMMYFUNCTION("IF('Main Flow Steps'!K131="""","""",IFERROR(GOOGLETRANSLATE('Main Flow Steps'!K131,""en"",""vi""),'Main Flow Steps'!K131))"),"")</f>
        <v/>
      </c>
    </row>
    <row r="111">
      <c r="A111" s="42" t="str">
        <f>IF('Main Flow Steps'!A132="","",'Main Flow Steps'!A132)</f>
        <v/>
      </c>
      <c r="B111" s="42" t="str">
        <f>IFERROR(__xludf.DUMMYFUNCTION("IF('Main Flow Steps'!B132="""","""",IFERROR(GOOGLETRANSLATE('Main Flow Steps'!B132,""en"",""vi""),'Main Flow Steps'!B132))"),"")</f>
        <v/>
      </c>
      <c r="C111" s="42" t="str">
        <f>IF('Main Flow Steps'!C132="","",'Main Flow Steps'!C132)</f>
        <v/>
      </c>
      <c r="D111" s="42" t="str">
        <f>IF('Main Flow Steps'!D132="","",SWITCH('Main Flow Steps'!D132,"Start","Bắt đầu","End","Kết thúc","User Action","Hành động người dùng","System Action","Hành động hệ thống","Optional User Action","Hành động tùy chọn của người dùng","Optional System Action","Hành động tùy chọn của hệ thống",'Main Flow Steps'!D132))</f>
        <v/>
      </c>
      <c r="E111" s="42" t="str">
        <f>IFERROR(__xludf.DUMMYFUNCTION("IF('Main Flow Steps'!E132="""","""",IFERROR(GOOGLETRANSLATE('Main Flow Steps'!E132,""en"",""vi""),'Main Flow Steps'!E132))"),"")</f>
        <v/>
      </c>
      <c r="F111" s="42" t="str">
        <f>IFERROR(__xludf.DUMMYFUNCTION("IF('Main Flow Steps'!F132="""","""",IFERROR(GOOGLETRANSLATE('Main Flow Steps'!F132,""en"",""vi""),'Main Flow Steps'!F132))"),"")</f>
        <v/>
      </c>
      <c r="G111" s="42" t="str">
        <f>IFERROR(__xludf.DUMMYFUNCTION("IF('Main Flow Steps'!G132="""","""",IFERROR(GOOGLETRANSLATE('Main Flow Steps'!G132,""en"",""vi""),'Main Flow Steps'!G132))"),"")</f>
        <v/>
      </c>
      <c r="H111" s="42" t="str">
        <f>IF('Main Flow Steps'!H132="","",'Main Flow Steps'!H132)</f>
        <v/>
      </c>
      <c r="I111" s="42" t="str">
        <f>IF('Main Flow Steps'!I132="","",'Main Flow Steps'!I132)</f>
        <v/>
      </c>
      <c r="J111" s="42" t="str">
        <f>IFERROR(__xludf.DUMMYFUNCTION("IF('Main Flow Steps'!J132="""","""",IFERROR(GOOGLETRANSLATE('Main Flow Steps'!J132,""en"",""vi""),'Main Flow Steps'!J132))"),"")</f>
        <v/>
      </c>
      <c r="K111" s="42" t="str">
        <f>IFERROR(__xludf.DUMMYFUNCTION("IF('Main Flow Steps'!K132="""","""",IFERROR(GOOGLETRANSLATE('Main Flow Steps'!K132,""en"",""vi""),'Main Flow Steps'!K132))"),"")</f>
        <v/>
      </c>
    </row>
    <row r="112">
      <c r="A112" s="42" t="str">
        <f>IF('Main Flow Steps'!A133="","",'Main Flow Steps'!A133)</f>
        <v/>
      </c>
      <c r="B112" s="42" t="str">
        <f>IFERROR(__xludf.DUMMYFUNCTION("IF('Main Flow Steps'!B133="""","""",IFERROR(GOOGLETRANSLATE('Main Flow Steps'!B133,""en"",""vi""),'Main Flow Steps'!B133))"),"")</f>
        <v/>
      </c>
      <c r="C112" s="42" t="str">
        <f>IF('Main Flow Steps'!C133="","",'Main Flow Steps'!C133)</f>
        <v/>
      </c>
      <c r="D112" s="42" t="str">
        <f>IF('Main Flow Steps'!D133="","",SWITCH('Main Flow Steps'!D133,"Start","Bắt đầu","End","Kết thúc","User Action","Hành động người dùng","System Action","Hành động hệ thống","Optional User Action","Hành động tùy chọn của người dùng","Optional System Action","Hành động tùy chọn của hệ thống",'Main Flow Steps'!D133))</f>
        <v/>
      </c>
      <c r="E112" s="42" t="str">
        <f>IFERROR(__xludf.DUMMYFUNCTION("IF('Main Flow Steps'!E133="""","""",IFERROR(GOOGLETRANSLATE('Main Flow Steps'!E133,""en"",""vi""),'Main Flow Steps'!E133))"),"")</f>
        <v/>
      </c>
      <c r="F112" s="42" t="str">
        <f>IFERROR(__xludf.DUMMYFUNCTION("IF('Main Flow Steps'!F133="""","""",IFERROR(GOOGLETRANSLATE('Main Flow Steps'!F133,""en"",""vi""),'Main Flow Steps'!F133))"),"")</f>
        <v/>
      </c>
      <c r="G112" s="42" t="str">
        <f>IFERROR(__xludf.DUMMYFUNCTION("IF('Main Flow Steps'!G133="""","""",IFERROR(GOOGLETRANSLATE('Main Flow Steps'!G133,""en"",""vi""),'Main Flow Steps'!G133))"),"")</f>
        <v/>
      </c>
      <c r="H112" s="42" t="str">
        <f>IF('Main Flow Steps'!H133="","",'Main Flow Steps'!H133)</f>
        <v/>
      </c>
      <c r="I112" s="42" t="str">
        <f>IF('Main Flow Steps'!I133="","",'Main Flow Steps'!I133)</f>
        <v/>
      </c>
      <c r="J112" s="42" t="str">
        <f>IFERROR(__xludf.DUMMYFUNCTION("IF('Main Flow Steps'!J133="""","""",IFERROR(GOOGLETRANSLATE('Main Flow Steps'!J133,""en"",""vi""),'Main Flow Steps'!J133))"),"")</f>
        <v/>
      </c>
      <c r="K112" s="42" t="str">
        <f>IFERROR(__xludf.DUMMYFUNCTION("IF('Main Flow Steps'!K133="""","""",IFERROR(GOOGLETRANSLATE('Main Flow Steps'!K133,""en"",""vi""),'Main Flow Steps'!K133))"),"")</f>
        <v/>
      </c>
    </row>
    <row r="113">
      <c r="A113" s="42" t="str">
        <f>IF('Main Flow Steps'!A134="","",'Main Flow Steps'!A134)</f>
        <v/>
      </c>
      <c r="B113" s="42" t="str">
        <f>IFERROR(__xludf.DUMMYFUNCTION("IF('Main Flow Steps'!B134="""","""",IFERROR(GOOGLETRANSLATE('Main Flow Steps'!B134,""en"",""vi""),'Main Flow Steps'!B134))"),"")</f>
        <v/>
      </c>
      <c r="C113" s="42" t="str">
        <f>IF('Main Flow Steps'!C134="","",'Main Flow Steps'!C134)</f>
        <v/>
      </c>
      <c r="D113" s="42" t="str">
        <f>IF('Main Flow Steps'!D134="","",SWITCH('Main Flow Steps'!D134,"Start","Bắt đầu","End","Kết thúc","User Action","Hành động người dùng","System Action","Hành động hệ thống","Optional User Action","Hành động tùy chọn của người dùng","Optional System Action","Hành động tùy chọn của hệ thống",'Main Flow Steps'!D134))</f>
        <v/>
      </c>
      <c r="E113" s="42" t="str">
        <f>IFERROR(__xludf.DUMMYFUNCTION("IF('Main Flow Steps'!E134="""","""",IFERROR(GOOGLETRANSLATE('Main Flow Steps'!E134,""en"",""vi""),'Main Flow Steps'!E134))"),"")</f>
        <v/>
      </c>
      <c r="F113" s="42" t="str">
        <f>IFERROR(__xludf.DUMMYFUNCTION("IF('Main Flow Steps'!F134="""","""",IFERROR(GOOGLETRANSLATE('Main Flow Steps'!F134,""en"",""vi""),'Main Flow Steps'!F134))"),"")</f>
        <v/>
      </c>
      <c r="G113" s="42" t="str">
        <f>IFERROR(__xludf.DUMMYFUNCTION("IF('Main Flow Steps'!G134="""","""",IFERROR(GOOGLETRANSLATE('Main Flow Steps'!G134,""en"",""vi""),'Main Flow Steps'!G134))"),"")</f>
        <v/>
      </c>
      <c r="H113" s="42" t="str">
        <f>IF('Main Flow Steps'!H134="","",'Main Flow Steps'!H134)</f>
        <v/>
      </c>
      <c r="I113" s="42" t="str">
        <f>IF('Main Flow Steps'!I134="","",'Main Flow Steps'!I134)</f>
        <v/>
      </c>
      <c r="J113" s="42" t="str">
        <f>IFERROR(__xludf.DUMMYFUNCTION("IF('Main Flow Steps'!J134="""","""",IFERROR(GOOGLETRANSLATE('Main Flow Steps'!J134,""en"",""vi""),'Main Flow Steps'!J134))"),"")</f>
        <v/>
      </c>
      <c r="K113" s="42" t="str">
        <f>IFERROR(__xludf.DUMMYFUNCTION("IF('Main Flow Steps'!K134="""","""",IFERROR(GOOGLETRANSLATE('Main Flow Steps'!K134,""en"",""vi""),'Main Flow Steps'!K134))"),"")</f>
        <v/>
      </c>
    </row>
    <row r="114">
      <c r="A114" s="42" t="str">
        <f>IF('Main Flow Steps'!A135="","",'Main Flow Steps'!A135)</f>
        <v/>
      </c>
      <c r="B114" s="42" t="str">
        <f>IFERROR(__xludf.DUMMYFUNCTION("IF('Main Flow Steps'!B135="""","""",IFERROR(GOOGLETRANSLATE('Main Flow Steps'!B135,""en"",""vi""),'Main Flow Steps'!B135))"),"")</f>
        <v/>
      </c>
      <c r="C114" s="42" t="str">
        <f>IF('Main Flow Steps'!C135="","",'Main Flow Steps'!C135)</f>
        <v/>
      </c>
      <c r="D114" s="42" t="str">
        <f>IF('Main Flow Steps'!D135="","",SWITCH('Main Flow Steps'!D135,"Start","Bắt đầu","End","Kết thúc","User Action","Hành động người dùng","System Action","Hành động hệ thống","Optional User Action","Hành động tùy chọn của người dùng","Optional System Action","Hành động tùy chọn của hệ thống",'Main Flow Steps'!D135))</f>
        <v/>
      </c>
      <c r="E114" s="42" t="str">
        <f>IFERROR(__xludf.DUMMYFUNCTION("IF('Main Flow Steps'!E135="""","""",IFERROR(GOOGLETRANSLATE('Main Flow Steps'!E135,""en"",""vi""),'Main Flow Steps'!E135))"),"")</f>
        <v/>
      </c>
      <c r="F114" s="42" t="str">
        <f>IFERROR(__xludf.DUMMYFUNCTION("IF('Main Flow Steps'!F135="""","""",IFERROR(GOOGLETRANSLATE('Main Flow Steps'!F135,""en"",""vi""),'Main Flow Steps'!F135))"),"")</f>
        <v/>
      </c>
      <c r="G114" s="42" t="str">
        <f>IFERROR(__xludf.DUMMYFUNCTION("IF('Main Flow Steps'!G135="""","""",IFERROR(GOOGLETRANSLATE('Main Flow Steps'!G135,""en"",""vi""),'Main Flow Steps'!G135))"),"")</f>
        <v/>
      </c>
      <c r="H114" s="42" t="str">
        <f>IF('Main Flow Steps'!H135="","",'Main Flow Steps'!H135)</f>
        <v/>
      </c>
      <c r="I114" s="42" t="str">
        <f>IF('Main Flow Steps'!I135="","",'Main Flow Steps'!I135)</f>
        <v/>
      </c>
      <c r="J114" s="42" t="str">
        <f>IFERROR(__xludf.DUMMYFUNCTION("IF('Main Flow Steps'!J135="""","""",IFERROR(GOOGLETRANSLATE('Main Flow Steps'!J135,""en"",""vi""),'Main Flow Steps'!J135))"),"")</f>
        <v/>
      </c>
      <c r="K114" s="42" t="str">
        <f>IFERROR(__xludf.DUMMYFUNCTION("IF('Main Flow Steps'!K135="""","""",IFERROR(GOOGLETRANSLATE('Main Flow Steps'!K135,""en"",""vi""),'Main Flow Steps'!K135))"),"")</f>
        <v/>
      </c>
    </row>
    <row r="115">
      <c r="A115" s="42" t="str">
        <f>IF('Main Flow Steps'!A136="","",'Main Flow Steps'!A136)</f>
        <v/>
      </c>
      <c r="B115" s="42" t="str">
        <f>IFERROR(__xludf.DUMMYFUNCTION("IF('Main Flow Steps'!B136="""","""",IFERROR(GOOGLETRANSLATE('Main Flow Steps'!B136,""en"",""vi""),'Main Flow Steps'!B136))"),"")</f>
        <v/>
      </c>
      <c r="C115" s="42" t="str">
        <f>IF('Main Flow Steps'!C136="","",'Main Flow Steps'!C136)</f>
        <v/>
      </c>
      <c r="D115" s="42" t="str">
        <f>IF('Main Flow Steps'!D136="","",SWITCH('Main Flow Steps'!D136,"Start","Bắt đầu","End","Kết thúc","User Action","Hành động người dùng","System Action","Hành động hệ thống","Optional User Action","Hành động tùy chọn của người dùng","Optional System Action","Hành động tùy chọn của hệ thống",'Main Flow Steps'!D136))</f>
        <v/>
      </c>
      <c r="E115" s="42" t="str">
        <f>IFERROR(__xludf.DUMMYFUNCTION("IF('Main Flow Steps'!E136="""","""",IFERROR(GOOGLETRANSLATE('Main Flow Steps'!E136,""en"",""vi""),'Main Flow Steps'!E136))"),"")</f>
        <v/>
      </c>
      <c r="F115" s="42" t="str">
        <f>IFERROR(__xludf.DUMMYFUNCTION("IF('Main Flow Steps'!F136="""","""",IFERROR(GOOGLETRANSLATE('Main Flow Steps'!F136,""en"",""vi""),'Main Flow Steps'!F136))"),"")</f>
        <v/>
      </c>
      <c r="G115" s="42" t="str">
        <f>IFERROR(__xludf.DUMMYFUNCTION("IF('Main Flow Steps'!G136="""","""",IFERROR(GOOGLETRANSLATE('Main Flow Steps'!G136,""en"",""vi""),'Main Flow Steps'!G136))"),"")</f>
        <v/>
      </c>
      <c r="H115" s="42" t="str">
        <f>IF('Main Flow Steps'!H136="","",'Main Flow Steps'!H136)</f>
        <v/>
      </c>
      <c r="I115" s="42" t="str">
        <f>IF('Main Flow Steps'!I136="","",'Main Flow Steps'!I136)</f>
        <v/>
      </c>
      <c r="J115" s="42" t="str">
        <f>IFERROR(__xludf.DUMMYFUNCTION("IF('Main Flow Steps'!J136="""","""",IFERROR(GOOGLETRANSLATE('Main Flow Steps'!J136,""en"",""vi""),'Main Flow Steps'!J136))"),"")</f>
        <v/>
      </c>
      <c r="K115" s="42" t="str">
        <f>IFERROR(__xludf.DUMMYFUNCTION("IF('Main Flow Steps'!K136="""","""",IFERROR(GOOGLETRANSLATE('Main Flow Steps'!K136,""en"",""vi""),'Main Flow Steps'!K136))"),"")</f>
        <v/>
      </c>
    </row>
    <row r="116">
      <c r="A116" s="42" t="str">
        <f>IF('Main Flow Steps'!A137="","",'Main Flow Steps'!A137)</f>
        <v/>
      </c>
      <c r="B116" s="42" t="str">
        <f>IFERROR(__xludf.DUMMYFUNCTION("IF('Main Flow Steps'!B137="""","""",IFERROR(GOOGLETRANSLATE('Main Flow Steps'!B137,""en"",""vi""),'Main Flow Steps'!B137))"),"")</f>
        <v/>
      </c>
      <c r="C116" s="42" t="str">
        <f>IF('Main Flow Steps'!C137="","",'Main Flow Steps'!C137)</f>
        <v/>
      </c>
      <c r="D116" s="42" t="str">
        <f>IF('Main Flow Steps'!D137="","",SWITCH('Main Flow Steps'!D137,"Start","Bắt đầu","End","Kết thúc","User Action","Hành động người dùng","System Action","Hành động hệ thống","Optional User Action","Hành động tùy chọn của người dùng","Optional System Action","Hành động tùy chọn của hệ thống",'Main Flow Steps'!D137))</f>
        <v/>
      </c>
      <c r="E116" s="42" t="str">
        <f>IFERROR(__xludf.DUMMYFUNCTION("IF('Main Flow Steps'!E137="""","""",IFERROR(GOOGLETRANSLATE('Main Flow Steps'!E137,""en"",""vi""),'Main Flow Steps'!E137))"),"")</f>
        <v/>
      </c>
      <c r="F116" s="42" t="str">
        <f>IFERROR(__xludf.DUMMYFUNCTION("IF('Main Flow Steps'!F137="""","""",IFERROR(GOOGLETRANSLATE('Main Flow Steps'!F137,""en"",""vi""),'Main Flow Steps'!F137))"),"")</f>
        <v/>
      </c>
      <c r="G116" s="42" t="str">
        <f>IFERROR(__xludf.DUMMYFUNCTION("IF('Main Flow Steps'!G137="""","""",IFERROR(GOOGLETRANSLATE('Main Flow Steps'!G137,""en"",""vi""),'Main Flow Steps'!G137))"),"")</f>
        <v/>
      </c>
      <c r="H116" s="42" t="str">
        <f>IF('Main Flow Steps'!H137="","",'Main Flow Steps'!H137)</f>
        <v/>
      </c>
      <c r="I116" s="42" t="str">
        <f>IF('Main Flow Steps'!I137="","",'Main Flow Steps'!I137)</f>
        <v/>
      </c>
      <c r="J116" s="42" t="str">
        <f>IFERROR(__xludf.DUMMYFUNCTION("IF('Main Flow Steps'!J137="""","""",IFERROR(GOOGLETRANSLATE('Main Flow Steps'!J137,""en"",""vi""),'Main Flow Steps'!J137))"),"")</f>
        <v/>
      </c>
      <c r="K116" s="42" t="str">
        <f>IFERROR(__xludf.DUMMYFUNCTION("IF('Main Flow Steps'!K137="""","""",IFERROR(GOOGLETRANSLATE('Main Flow Steps'!K137,""en"",""vi""),'Main Flow Steps'!K137))"),"")</f>
        <v/>
      </c>
    </row>
    <row r="117">
      <c r="A117" s="42" t="str">
        <f>IF('Main Flow Steps'!A138="","",'Main Flow Steps'!A138)</f>
        <v/>
      </c>
      <c r="B117" s="42" t="str">
        <f>IFERROR(__xludf.DUMMYFUNCTION("IF('Main Flow Steps'!B138="""","""",IFERROR(GOOGLETRANSLATE('Main Flow Steps'!B138,""en"",""vi""),'Main Flow Steps'!B138))"),"")</f>
        <v/>
      </c>
      <c r="C117" s="42" t="str">
        <f>IF('Main Flow Steps'!C138="","",'Main Flow Steps'!C138)</f>
        <v/>
      </c>
      <c r="D117" s="42" t="str">
        <f>IF('Main Flow Steps'!D138="","",SWITCH('Main Flow Steps'!D138,"Start","Bắt đầu","End","Kết thúc","User Action","Hành động người dùng","System Action","Hành động hệ thống","Optional User Action","Hành động tùy chọn của người dùng","Optional System Action","Hành động tùy chọn của hệ thống",'Main Flow Steps'!D138))</f>
        <v/>
      </c>
      <c r="E117" s="42" t="str">
        <f>IFERROR(__xludf.DUMMYFUNCTION("IF('Main Flow Steps'!E138="""","""",IFERROR(GOOGLETRANSLATE('Main Flow Steps'!E138,""en"",""vi""),'Main Flow Steps'!E138))"),"")</f>
        <v/>
      </c>
      <c r="F117" s="42" t="str">
        <f>IFERROR(__xludf.DUMMYFUNCTION("IF('Main Flow Steps'!F138="""","""",IFERROR(GOOGLETRANSLATE('Main Flow Steps'!F138,""en"",""vi""),'Main Flow Steps'!F138))"),"")</f>
        <v/>
      </c>
      <c r="G117" s="42" t="str">
        <f>IFERROR(__xludf.DUMMYFUNCTION("IF('Main Flow Steps'!G138="""","""",IFERROR(GOOGLETRANSLATE('Main Flow Steps'!G138,""en"",""vi""),'Main Flow Steps'!G138))"),"")</f>
        <v/>
      </c>
      <c r="H117" s="42" t="str">
        <f>IF('Main Flow Steps'!H138="","",'Main Flow Steps'!H138)</f>
        <v/>
      </c>
      <c r="I117" s="42" t="str">
        <f>IF('Main Flow Steps'!I138="","",'Main Flow Steps'!I138)</f>
        <v/>
      </c>
      <c r="J117" s="42" t="str">
        <f>IFERROR(__xludf.DUMMYFUNCTION("IF('Main Flow Steps'!J138="""","""",IFERROR(GOOGLETRANSLATE('Main Flow Steps'!J138,""en"",""vi""),'Main Flow Steps'!J138))"),"")</f>
        <v/>
      </c>
      <c r="K117" s="42" t="str">
        <f>IFERROR(__xludf.DUMMYFUNCTION("IF('Main Flow Steps'!K138="""","""",IFERROR(GOOGLETRANSLATE('Main Flow Steps'!K138,""en"",""vi""),'Main Flow Steps'!K138))"),"")</f>
        <v/>
      </c>
    </row>
    <row r="118">
      <c r="A118" s="42" t="str">
        <f>IF('Main Flow Steps'!A139="","",'Main Flow Steps'!A139)</f>
        <v/>
      </c>
      <c r="B118" s="42" t="str">
        <f>IFERROR(__xludf.DUMMYFUNCTION("IF('Main Flow Steps'!B139="""","""",IFERROR(GOOGLETRANSLATE('Main Flow Steps'!B139,""en"",""vi""),'Main Flow Steps'!B139))"),"")</f>
        <v/>
      </c>
      <c r="C118" s="42" t="str">
        <f>IF('Main Flow Steps'!C139="","",'Main Flow Steps'!C139)</f>
        <v/>
      </c>
      <c r="D118" s="42" t="str">
        <f>IF('Main Flow Steps'!D139="","",SWITCH('Main Flow Steps'!D139,"Start","Bắt đầu","End","Kết thúc","User Action","Hành động người dùng","System Action","Hành động hệ thống","Optional User Action","Hành động tùy chọn của người dùng","Optional System Action","Hành động tùy chọn của hệ thống",'Main Flow Steps'!D139))</f>
        <v/>
      </c>
      <c r="E118" s="42" t="str">
        <f>IFERROR(__xludf.DUMMYFUNCTION("IF('Main Flow Steps'!E139="""","""",IFERROR(GOOGLETRANSLATE('Main Flow Steps'!E139,""en"",""vi""),'Main Flow Steps'!E139))"),"")</f>
        <v/>
      </c>
      <c r="F118" s="42" t="str">
        <f>IFERROR(__xludf.DUMMYFUNCTION("IF('Main Flow Steps'!F139="""","""",IFERROR(GOOGLETRANSLATE('Main Flow Steps'!F139,""en"",""vi""),'Main Flow Steps'!F139))"),"")</f>
        <v/>
      </c>
      <c r="G118" s="42" t="str">
        <f>IFERROR(__xludf.DUMMYFUNCTION("IF('Main Flow Steps'!G139="""","""",IFERROR(GOOGLETRANSLATE('Main Flow Steps'!G139,""en"",""vi""),'Main Flow Steps'!G139))"),"")</f>
        <v/>
      </c>
      <c r="H118" s="42" t="str">
        <f>IF('Main Flow Steps'!H139="","",'Main Flow Steps'!H139)</f>
        <v/>
      </c>
      <c r="I118" s="42" t="str">
        <f>IF('Main Flow Steps'!I139="","",'Main Flow Steps'!I139)</f>
        <v/>
      </c>
      <c r="J118" s="42" t="str">
        <f>IFERROR(__xludf.DUMMYFUNCTION("IF('Main Flow Steps'!J139="""","""",IFERROR(GOOGLETRANSLATE('Main Flow Steps'!J139,""en"",""vi""),'Main Flow Steps'!J139))"),"")</f>
        <v/>
      </c>
      <c r="K118" s="42" t="str">
        <f>IFERROR(__xludf.DUMMYFUNCTION("IF('Main Flow Steps'!K139="""","""",IFERROR(GOOGLETRANSLATE('Main Flow Steps'!K139,""en"",""vi""),'Main Flow Steps'!K139))"),"")</f>
        <v/>
      </c>
    </row>
    <row r="119">
      <c r="A119" s="42" t="str">
        <f>IF('Main Flow Steps'!A140="","",'Main Flow Steps'!A140)</f>
        <v/>
      </c>
      <c r="B119" s="42" t="str">
        <f>IFERROR(__xludf.DUMMYFUNCTION("IF('Main Flow Steps'!B140="""","""",IFERROR(GOOGLETRANSLATE('Main Flow Steps'!B140,""en"",""vi""),'Main Flow Steps'!B140))"),"")</f>
        <v/>
      </c>
      <c r="C119" s="42" t="str">
        <f>IF('Main Flow Steps'!C140="","",'Main Flow Steps'!C140)</f>
        <v/>
      </c>
      <c r="D119" s="42" t="str">
        <f>IF('Main Flow Steps'!D140="","",SWITCH('Main Flow Steps'!D140,"Start","Bắt đầu","End","Kết thúc","User Action","Hành động người dùng","System Action","Hành động hệ thống","Optional User Action","Hành động tùy chọn của người dùng","Optional System Action","Hành động tùy chọn của hệ thống",'Main Flow Steps'!D140))</f>
        <v/>
      </c>
      <c r="E119" s="42" t="str">
        <f>IFERROR(__xludf.DUMMYFUNCTION("IF('Main Flow Steps'!E140="""","""",IFERROR(GOOGLETRANSLATE('Main Flow Steps'!E140,""en"",""vi""),'Main Flow Steps'!E140))"),"")</f>
        <v/>
      </c>
      <c r="F119" s="42" t="str">
        <f>IFERROR(__xludf.DUMMYFUNCTION("IF('Main Flow Steps'!F140="""","""",IFERROR(GOOGLETRANSLATE('Main Flow Steps'!F140,""en"",""vi""),'Main Flow Steps'!F140))"),"")</f>
        <v/>
      </c>
      <c r="G119" s="42" t="str">
        <f>IFERROR(__xludf.DUMMYFUNCTION("IF('Main Flow Steps'!G140="""","""",IFERROR(GOOGLETRANSLATE('Main Flow Steps'!G140,""en"",""vi""),'Main Flow Steps'!G140))"),"")</f>
        <v/>
      </c>
      <c r="H119" s="42" t="str">
        <f>IF('Main Flow Steps'!H140="","",'Main Flow Steps'!H140)</f>
        <v/>
      </c>
      <c r="I119" s="42" t="str">
        <f>IF('Main Flow Steps'!I140="","",'Main Flow Steps'!I140)</f>
        <v/>
      </c>
      <c r="J119" s="42" t="str">
        <f>IFERROR(__xludf.DUMMYFUNCTION("IF('Main Flow Steps'!J140="""","""",IFERROR(GOOGLETRANSLATE('Main Flow Steps'!J140,""en"",""vi""),'Main Flow Steps'!J140))"),"")</f>
        <v/>
      </c>
      <c r="K119" s="42" t="str">
        <f>IFERROR(__xludf.DUMMYFUNCTION("IF('Main Flow Steps'!K140="""","""",IFERROR(GOOGLETRANSLATE('Main Flow Steps'!K140,""en"",""vi""),'Main Flow Steps'!K140))"),"")</f>
        <v/>
      </c>
    </row>
    <row r="120">
      <c r="A120" s="42" t="str">
        <f>IF('Main Flow Steps'!A141="","",'Main Flow Steps'!A141)</f>
        <v/>
      </c>
      <c r="B120" s="42" t="str">
        <f>IFERROR(__xludf.DUMMYFUNCTION("IF('Main Flow Steps'!B141="""","""",IFERROR(GOOGLETRANSLATE('Main Flow Steps'!B141,""en"",""vi""),'Main Flow Steps'!B141))"),"")</f>
        <v/>
      </c>
      <c r="C120" s="42" t="str">
        <f>IF('Main Flow Steps'!C141="","",'Main Flow Steps'!C141)</f>
        <v/>
      </c>
      <c r="D120" s="42" t="str">
        <f>IF('Main Flow Steps'!D141="","",SWITCH('Main Flow Steps'!D141,"Start","Bắt đầu","End","Kết thúc","User Action","Hành động người dùng","System Action","Hành động hệ thống","Optional User Action","Hành động tùy chọn của người dùng","Optional System Action","Hành động tùy chọn của hệ thống",'Main Flow Steps'!D141))</f>
        <v/>
      </c>
      <c r="E120" s="42" t="str">
        <f>IFERROR(__xludf.DUMMYFUNCTION("IF('Main Flow Steps'!E141="""","""",IFERROR(GOOGLETRANSLATE('Main Flow Steps'!E141,""en"",""vi""),'Main Flow Steps'!E141))"),"")</f>
        <v/>
      </c>
      <c r="F120" s="42" t="str">
        <f>IFERROR(__xludf.DUMMYFUNCTION("IF('Main Flow Steps'!F141="""","""",IFERROR(GOOGLETRANSLATE('Main Flow Steps'!F141,""en"",""vi""),'Main Flow Steps'!F141))"),"")</f>
        <v/>
      </c>
      <c r="G120" s="42" t="str">
        <f>IFERROR(__xludf.DUMMYFUNCTION("IF('Main Flow Steps'!G141="""","""",IFERROR(GOOGLETRANSLATE('Main Flow Steps'!G141,""en"",""vi""),'Main Flow Steps'!G141))"),"")</f>
        <v/>
      </c>
      <c r="H120" s="42" t="str">
        <f>IF('Main Flow Steps'!H141="","",'Main Flow Steps'!H141)</f>
        <v/>
      </c>
      <c r="I120" s="42" t="str">
        <f>IF('Main Flow Steps'!I141="","",'Main Flow Steps'!I141)</f>
        <v/>
      </c>
      <c r="J120" s="42" t="str">
        <f>IFERROR(__xludf.DUMMYFUNCTION("IF('Main Flow Steps'!J141="""","""",IFERROR(GOOGLETRANSLATE('Main Flow Steps'!J141,""en"",""vi""),'Main Flow Steps'!J141))"),"")</f>
        <v/>
      </c>
      <c r="K120" s="42" t="str">
        <f>IFERROR(__xludf.DUMMYFUNCTION("IF('Main Flow Steps'!K141="""","""",IFERROR(GOOGLETRANSLATE('Main Flow Steps'!K141,""en"",""vi""),'Main Flow Steps'!K141))"),"")</f>
        <v/>
      </c>
    </row>
  </sheetData>
  <dataValidations>
    <dataValidation type="custom" allowBlank="1" showDropDown="1" sqref="C2:C53">
      <formula1>AND(ISNUMBER(C2),(NOT(OR(NOT(ISERROR(DATEVALUE(C2))), AND(ISNUMBER(C2), LEFT(CELL("format", C2))="D")))))</formula1>
    </dataValidation>
  </dataValidations>
  <drawing r:id="rId1"/>
  <tableParts count="1">
    <tablePart r:id="rId3"/>
  </tableParts>
</worksheet>
</file>